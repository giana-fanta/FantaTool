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hidePivotFieldList="1" defaultThemeVersion="166925"/>
  <xr:revisionPtr revIDLastSave="2283" documentId="11_92488BC504E3F6C36C3E1A39993E8C1851038387" xr6:coauthVersionLast="47" xr6:coauthVersionMax="47" xr10:uidLastSave="{0AB3860B-AD98-474C-B15C-9233C79E4956}"/>
  <bookViews>
    <workbookView xWindow="240" yWindow="105" windowWidth="14805" windowHeight="8010" firstSheet="4" activeTab="4" xr2:uid="{00000000-000D-0000-FFFF-FFFF00000000}"/>
  </bookViews>
  <sheets>
    <sheet name="P" sheetId="2" r:id="rId1"/>
    <sheet name="D" sheetId="3" r:id="rId2"/>
    <sheet name="C" sheetId="4" r:id="rId3"/>
    <sheet name="A" sheetId="5" r:id="rId4"/>
    <sheet name="Dashboard" sheetId="6" r:id="rId5"/>
    <sheet name="Extra" sheetId="8" r:id="rId6"/>
    <sheet name="Control_Panel" sheetId="9" r:id="rId7"/>
    <sheet name="Utils" sheetId="7" state="hidden" r:id="rId8"/>
    <sheet name="Tutti" sheetId="1" state="hidden" r:id="rId9"/>
  </sheets>
  <definedNames>
    <definedName name="_xlnm._FilterDatabase" localSheetId="8" hidden="1">Tutti!$A$1:$AA$1</definedName>
    <definedName name="_xlnm._FilterDatabase" localSheetId="0" hidden="1">P!$A$1:$G$1</definedName>
    <definedName name="_xlnm._FilterDatabase" localSheetId="1" hidden="1">D!$A$1:$G$1</definedName>
    <definedName name="_xlnm._FilterDatabase" localSheetId="2" hidden="1">'C'!$A$1:$G$1</definedName>
    <definedName name="_xlnm._FilterDatabase" localSheetId="3" hidden="1">A!$A$1:$G$1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" i="9" l="1"/>
  <c r="I6" i="6"/>
  <c r="I8" i="6"/>
  <c r="I7" i="6"/>
  <c r="H6" i="6"/>
  <c r="H7" i="6"/>
  <c r="J26" i="9"/>
  <c r="J27" i="9"/>
  <c r="K27" i="9"/>
  <c r="J28" i="9"/>
  <c r="K28" i="9"/>
  <c r="J29" i="9"/>
  <c r="K29" i="9"/>
  <c r="L7" i="9"/>
  <c r="J7" i="9"/>
  <c r="L5" i="9"/>
  <c r="D23" i="9"/>
  <c r="D22" i="9"/>
  <c r="D21" i="9"/>
  <c r="B23" i="9"/>
  <c r="B22" i="9"/>
  <c r="C23" i="9"/>
  <c r="C22" i="9"/>
  <c r="C21" i="9"/>
  <c r="B21" i="9"/>
  <c r="E21" i="9"/>
  <c r="F21" i="9"/>
  <c r="G21" i="9"/>
  <c r="H21" i="9"/>
  <c r="E22" i="9"/>
  <c r="F22" i="9"/>
  <c r="G22" i="9"/>
  <c r="H22" i="9"/>
  <c r="E23" i="9"/>
  <c r="F23" i="9"/>
  <c r="G23" i="9"/>
  <c r="H23" i="9"/>
  <c r="D20" i="9"/>
  <c r="C20" i="9"/>
  <c r="B20" i="9"/>
  <c r="K16" i="9"/>
  <c r="L16" i="9" s="1"/>
  <c r="K15" i="9"/>
  <c r="L15" i="9" s="1"/>
  <c r="K14" i="9"/>
  <c r="L14" i="9" s="1"/>
  <c r="F13" i="9"/>
  <c r="F14" i="9"/>
  <c r="F15" i="9"/>
  <c r="E13" i="9"/>
  <c r="G13" i="9" s="1"/>
  <c r="E14" i="9"/>
  <c r="G14" i="9" s="1"/>
  <c r="E15" i="9"/>
  <c r="G15" i="9" s="1"/>
  <c r="E12" i="9"/>
  <c r="C13" i="9"/>
  <c r="C14" i="9"/>
  <c r="C15" i="9"/>
  <c r="B13" i="9"/>
  <c r="D13" i="9" s="1"/>
  <c r="B14" i="9"/>
  <c r="D14" i="9" s="1"/>
  <c r="B15" i="9"/>
  <c r="D15" i="9" s="1"/>
  <c r="B12" i="9"/>
  <c r="I7" i="9"/>
  <c r="G7" i="9"/>
  <c r="A7" i="9"/>
  <c r="I5" i="9"/>
  <c r="A5" i="9"/>
  <c r="E8" i="6"/>
  <c r="E7" i="6"/>
  <c r="E6" i="6"/>
  <c r="E5" i="6"/>
  <c r="K26" i="9" s="1"/>
  <c r="C8" i="6"/>
  <c r="C7" i="6"/>
  <c r="C6" i="6"/>
  <c r="C5" i="6"/>
  <c r="B2" i="6"/>
  <c r="Q6" i="6"/>
  <c r="Q7" i="6"/>
  <c r="Q8" i="6"/>
  <c r="P6" i="6"/>
  <c r="P7" i="6"/>
  <c r="P8" i="6"/>
  <c r="O6" i="6"/>
  <c r="O7" i="6"/>
  <c r="O8" i="6"/>
  <c r="Q5" i="6"/>
  <c r="P5" i="6"/>
  <c r="O5" i="6"/>
  <c r="K8" i="6"/>
  <c r="M8" i="6" s="1"/>
  <c r="J8" i="6"/>
  <c r="L8" i="6" s="1"/>
  <c r="K7" i="6"/>
  <c r="M7" i="6" s="1"/>
  <c r="J7" i="6"/>
  <c r="L7" i="6" s="1"/>
  <c r="J6" i="6"/>
  <c r="L6" i="6" s="1"/>
  <c r="K5" i="6"/>
  <c r="M5" i="6" s="1"/>
  <c r="J5" i="6"/>
  <c r="L5" i="6" s="1"/>
  <c r="H8" i="6"/>
  <c r="I5" i="6"/>
  <c r="H5" i="6"/>
  <c r="K6" i="6"/>
  <c r="M6" i="6" s="1"/>
  <c r="F8" i="6"/>
  <c r="F7" i="6"/>
  <c r="F6" i="6"/>
  <c r="F5" i="6"/>
  <c r="N5" i="6"/>
  <c r="B3" i="6"/>
  <c r="C12" i="9" l="1"/>
  <c r="D12" i="9"/>
  <c r="E20" i="9"/>
  <c r="F20" i="9" s="1"/>
  <c r="G20" i="9"/>
  <c r="H20" i="9"/>
  <c r="E5" i="9"/>
  <c r="G5" i="9"/>
  <c r="C5" i="9"/>
  <c r="K13" i="9"/>
  <c r="L13" i="9" s="1"/>
  <c r="F12" i="9"/>
  <c r="G12" i="9"/>
  <c r="I12" i="9"/>
  <c r="H12" i="9"/>
  <c r="I15" i="9"/>
  <c r="H15" i="9"/>
  <c r="I14" i="9"/>
  <c r="H14" i="9"/>
  <c r="I13" i="9"/>
  <c r="H13" i="9"/>
  <c r="U8" i="6"/>
  <c r="T8" i="6"/>
  <c r="S8" i="6"/>
  <c r="N8" i="6"/>
  <c r="R8" i="6" s="1"/>
  <c r="U5" i="6"/>
  <c r="X5" i="6" s="1"/>
  <c r="T5" i="6"/>
  <c r="W5" i="6" s="1"/>
  <c r="S5" i="6"/>
  <c r="V5" i="6" s="1"/>
  <c r="R5" i="6"/>
  <c r="U7" i="6"/>
  <c r="X7" i="6" s="1"/>
  <c r="T7" i="6"/>
  <c r="W7" i="6" s="1"/>
  <c r="S7" i="6"/>
  <c r="V7" i="6" s="1"/>
  <c r="N7" i="6"/>
  <c r="R7" i="6" s="1"/>
  <c r="U6" i="6"/>
  <c r="X6" i="6" s="1"/>
  <c r="T6" i="6"/>
  <c r="W6" i="6" s="1"/>
  <c r="S6" i="6"/>
  <c r="V6" i="6" s="1"/>
  <c r="N6" i="6"/>
  <c r="R6" i="6" s="1"/>
  <c r="B10" i="6" s="1"/>
  <c r="B9" i="6"/>
  <c r="B4" i="6" s="1"/>
  <c r="F7" i="2" l="1"/>
  <c r="C7" i="9"/>
  <c r="K12" i="9"/>
  <c r="L12" i="9" s="1"/>
  <c r="E7" i="9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2" i="5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2" i="3"/>
  <c r="F3" i="2"/>
  <c r="F4" i="2"/>
  <c r="F6" i="2"/>
  <c r="F8" i="2"/>
  <c r="F9" i="2"/>
  <c r="F10" i="2"/>
  <c r="F12" i="2"/>
  <c r="F14" i="2"/>
  <c r="F16" i="2"/>
  <c r="F18" i="2"/>
  <c r="F21" i="2"/>
  <c r="F2" i="2"/>
  <c r="F5" i="2"/>
  <c r="F11" i="2"/>
  <c r="F13" i="2"/>
  <c r="F15" i="2"/>
  <c r="F17" i="2"/>
  <c r="F19" i="2"/>
  <c r="F20" i="2"/>
</calcChain>
</file>

<file path=xl/sharedStrings.xml><?xml version="1.0" encoding="utf-8"?>
<sst xmlns="http://schemas.openxmlformats.org/spreadsheetml/2006/main" count="1415" uniqueCount="435">
  <si>
    <t>NOME</t>
  </si>
  <si>
    <t>CAT</t>
  </si>
  <si>
    <t>MAX</t>
  </si>
  <si>
    <t>STATO</t>
  </si>
  <si>
    <t>COSTO_REALE</t>
  </si>
  <si>
    <t>MAX_D</t>
  </si>
  <si>
    <t>NOTE</t>
  </si>
  <si>
    <t>BUTEZ</t>
  </si>
  <si>
    <t>Pun</t>
  </si>
  <si>
    <t>L</t>
  </si>
  <si>
    <t>eventualmente da trio</t>
  </si>
  <si>
    <t>CAPRILE</t>
  </si>
  <si>
    <t>CARNESECCHI</t>
  </si>
  <si>
    <t>Occ</t>
  </si>
  <si>
    <t>CORVI</t>
  </si>
  <si>
    <t>Sca</t>
  </si>
  <si>
    <t>DE GEA</t>
  </si>
  <si>
    <t>FALCONE</t>
  </si>
  <si>
    <t>JOSEP MARTINEZ</t>
  </si>
  <si>
    <t>da trio</t>
  </si>
  <si>
    <t>MAIGNAN</t>
  </si>
  <si>
    <t>MANDAS</t>
  </si>
  <si>
    <t>MASCARDI</t>
  </si>
  <si>
    <t>Scm</t>
  </si>
  <si>
    <t>MERET / MILINKOVIC</t>
  </si>
  <si>
    <t>MURIC</t>
  </si>
  <si>
    <t>OKOYE</t>
  </si>
  <si>
    <t>PALMISANI</t>
  </si>
  <si>
    <t>SKORUPSKI</t>
  </si>
  <si>
    <t>STANKOVIC</t>
  </si>
  <si>
    <t>SVILAR</t>
  </si>
  <si>
    <t>THIAM</t>
  </si>
  <si>
    <t>TURATI</t>
  </si>
  <si>
    <t>riserva di Muric</t>
  </si>
  <si>
    <t>VICARIO</t>
  </si>
  <si>
    <t>ABANKWAH</t>
  </si>
  <si>
    <t>BADIASHILE</t>
  </si>
  <si>
    <t>BARTESAGHI</t>
  </si>
  <si>
    <t>con Estupinan</t>
  </si>
  <si>
    <t>BASTONI</t>
  </si>
  <si>
    <t>BELLA-KOTCHAP</t>
  </si>
  <si>
    <t>Tit</t>
  </si>
  <si>
    <t>BELLANOVA</t>
  </si>
  <si>
    <t>con Zappacosta</t>
  </si>
  <si>
    <t>BERNASCONI</t>
  </si>
  <si>
    <t>BIRINDELLI</t>
  </si>
  <si>
    <t>BISSECK</t>
  </si>
  <si>
    <t>BRACAGLIA</t>
  </si>
  <si>
    <t>BREMER</t>
  </si>
  <si>
    <t>BUONGIORNO</t>
  </si>
  <si>
    <t>CALVANI</t>
  </si>
  <si>
    <t>CAMBIASO</t>
  </si>
  <si>
    <t>CARBONI A.</t>
  </si>
  <si>
    <t>CELIK</t>
  </si>
  <si>
    <t>CHALOBAH</t>
  </si>
  <si>
    <t>CITTADINI</t>
  </si>
  <si>
    <t>COCO</t>
  </si>
  <si>
    <t>COMUZZO</t>
  </si>
  <si>
    <t>CORREIA T.</t>
  </si>
  <si>
    <t>COUTO</t>
  </si>
  <si>
    <t>DANILO VEIGA</t>
  </si>
  <si>
    <t>DELPRATO</t>
  </si>
  <si>
    <t>DI LORENZO</t>
  </si>
  <si>
    <t>DIMARCO</t>
  </si>
  <si>
    <t>Piaz.</t>
  </si>
  <si>
    <t>DODO'</t>
  </si>
  <si>
    <t>DOEKHI</t>
  </si>
  <si>
    <t>DOIG</t>
  </si>
  <si>
    <t>con Obrador</t>
  </si>
  <si>
    <t>DRAGUSIN</t>
  </si>
  <si>
    <t>ESTUPINAN</t>
  </si>
  <si>
    <t>con Bartesaghi</t>
  </si>
  <si>
    <t>FLORIANI M.</t>
  </si>
  <si>
    <t>FORTINI</t>
  </si>
  <si>
    <t>con Pedersen</t>
  </si>
  <si>
    <t>FRANJIC</t>
  </si>
  <si>
    <t>GABBIA</t>
  </si>
  <si>
    <t>GALLO</t>
  </si>
  <si>
    <t>GASPAR</t>
  </si>
  <si>
    <t>GILA</t>
  </si>
  <si>
    <t>HAINAUT</t>
  </si>
  <si>
    <t>HAPS</t>
  </si>
  <si>
    <t>HEGGEM</t>
  </si>
  <si>
    <t>HELLAND</t>
  </si>
  <si>
    <t>HERMOSO</t>
  </si>
  <si>
    <t>HIEN</t>
  </si>
  <si>
    <t>IDZES</t>
  </si>
  <si>
    <t>ISMAJLI</t>
  </si>
  <si>
    <t>JIMENEZ A.</t>
  </si>
  <si>
    <t>con Dodò</t>
  </si>
  <si>
    <t>KABASELE</t>
  </si>
  <si>
    <t>KAIKI</t>
  </si>
  <si>
    <t>con Valle</t>
  </si>
  <si>
    <t>KALULU</t>
  </si>
  <si>
    <t>KAMARA H.</t>
  </si>
  <si>
    <t>KELLY</t>
  </si>
  <si>
    <t>KEMPF</t>
  </si>
  <si>
    <t>KOSSOUNOU</t>
  </si>
  <si>
    <t>KOUADIO</t>
  </si>
  <si>
    <t>KRISTENSEN</t>
  </si>
  <si>
    <t>L.RANIERI</t>
  </si>
  <si>
    <t>LEYSEN</t>
  </si>
  <si>
    <t>LUCCHESI</t>
  </si>
  <si>
    <t>LUCUMI'</t>
  </si>
  <si>
    <t>MANCINI</t>
  </si>
  <si>
    <t>MANGAS</t>
  </si>
  <si>
    <t>MARCANDALLI</t>
  </si>
  <si>
    <t>MINA</t>
  </si>
  <si>
    <t>MIRANDA</t>
  </si>
  <si>
    <t>MITAJ</t>
  </si>
  <si>
    <t>MOLINA N.</t>
  </si>
  <si>
    <t>NDIAYE</t>
  </si>
  <si>
    <t>N'DICKA</t>
  </si>
  <si>
    <t>NORTON-CUFFY</t>
  </si>
  <si>
    <t>OBERT</t>
  </si>
  <si>
    <t>OBRADOR</t>
  </si>
  <si>
    <t>con Doig</t>
  </si>
  <si>
    <t>ODENTHAL</t>
  </si>
  <si>
    <t>OLIVERA</t>
  </si>
  <si>
    <t>con Spinazzola</t>
  </si>
  <si>
    <t>OSTIGARD</t>
  </si>
  <si>
    <t>Rig.</t>
  </si>
  <si>
    <t>OYONO</t>
  </si>
  <si>
    <t>PALMA</t>
  </si>
  <si>
    <t>PAVLOVIC</t>
  </si>
  <si>
    <t>PEDERSEN</t>
  </si>
  <si>
    <t>con Fortini</t>
  </si>
  <si>
    <t>PEDRAZA</t>
  </si>
  <si>
    <t>RAMON</t>
  </si>
  <si>
    <t>RODRIGUEZ Ju.</t>
  </si>
  <si>
    <t>ROMAGNOLI</t>
  </si>
  <si>
    <t>RRAHMANI</t>
  </si>
  <si>
    <t>SCALVINI</t>
  </si>
  <si>
    <t>SCHINGTIENNE</t>
  </si>
  <si>
    <t>SIEBERT</t>
  </si>
  <si>
    <t>SOLET</t>
  </si>
  <si>
    <t>SPENCE</t>
  </si>
  <si>
    <t>SPINAZZOLA</t>
  </si>
  <si>
    <t>con Olivera</t>
  </si>
  <si>
    <t>STONES</t>
  </si>
  <si>
    <t>SUTALO J.</t>
  </si>
  <si>
    <t>TAVARES N.</t>
  </si>
  <si>
    <t>TIAGO GABRIEL</t>
  </si>
  <si>
    <t>TROILO</t>
  </si>
  <si>
    <t>VALDEPENAS</t>
  </si>
  <si>
    <t>VALENTI</t>
  </si>
  <si>
    <t>VALERI</t>
  </si>
  <si>
    <t>VALLE</t>
  </si>
  <si>
    <t>con Kaiki</t>
  </si>
  <si>
    <t>VASQUEZ J.</t>
  </si>
  <si>
    <t>VIERY</t>
  </si>
  <si>
    <t>VITIK</t>
  </si>
  <si>
    <t>VOJVODA</t>
  </si>
  <si>
    <t>WALUKIEWICZ</t>
  </si>
  <si>
    <t>WESLEY</t>
  </si>
  <si>
    <t>ZAPPACOSTA</t>
  </si>
  <si>
    <t>con Bellanova</t>
  </si>
  <si>
    <t>ZE' PEDRO</t>
  </si>
  <si>
    <t>ZORTEA</t>
  </si>
  <si>
    <t>ADOPO</t>
  </si>
  <si>
    <t>ADZIC</t>
  </si>
  <si>
    <t>con Thorsvedt</t>
  </si>
  <si>
    <t>AKISANMIRO</t>
  </si>
  <si>
    <t>ALAJBEGOVIC</t>
  </si>
  <si>
    <t>ALMQVIST</t>
  </si>
  <si>
    <t>ATTA</t>
  </si>
  <si>
    <t>BAKOLA</t>
  </si>
  <si>
    <t>BALDANZI</t>
  </si>
  <si>
    <t>BARELLA</t>
  </si>
  <si>
    <t>BASIC</t>
  </si>
  <si>
    <t>BATURINA</t>
  </si>
  <si>
    <t>BERISHA</t>
  </si>
  <si>
    <t>BERNABE'</t>
  </si>
  <si>
    <t>BERNARDESCHI</t>
  </si>
  <si>
    <t>con Odgaard, Piaz.</t>
  </si>
  <si>
    <t>BRESCIANINI</t>
  </si>
  <si>
    <t>BUSIO</t>
  </si>
  <si>
    <t>CACCIAMANI</t>
  </si>
  <si>
    <t>CALHANOGLU</t>
  </si>
  <si>
    <t>Rig., Piaz.</t>
  </si>
  <si>
    <t>CALO'</t>
  </si>
  <si>
    <t>CAMBIAGHI</t>
  </si>
  <si>
    <t>CANCELLIERI</t>
  </si>
  <si>
    <t>CASADEI</t>
  </si>
  <si>
    <t>CHUKWUEZE</t>
  </si>
  <si>
    <t>solo con Saelemakers</t>
  </si>
  <si>
    <t>CICHELLA</t>
  </si>
  <si>
    <t>CISSE' A.</t>
  </si>
  <si>
    <t>COLPANI</t>
  </si>
  <si>
    <t>CONCEICAO</t>
  </si>
  <si>
    <t>CRISTANTE</t>
  </si>
  <si>
    <t>DA CUNHA</t>
  </si>
  <si>
    <t>DE BRUYNE</t>
  </si>
  <si>
    <t>DIOUF</t>
  </si>
  <si>
    <t>se coperti</t>
  </si>
  <si>
    <t>DOMINGUEZ B.</t>
  </si>
  <si>
    <t>DOUGLAS LUIZ</t>
  </si>
  <si>
    <t>EDERSON</t>
  </si>
  <si>
    <t>EKKELENKAMP</t>
  </si>
  <si>
    <t>EL AZZOUZI</t>
  </si>
  <si>
    <t>ELLERTSSON</t>
  </si>
  <si>
    <t>ELMAS</t>
  </si>
  <si>
    <t>FAGIOLI</t>
  </si>
  <si>
    <t>FAZZINI</t>
  </si>
  <si>
    <t>FERGUSON</t>
  </si>
  <si>
    <t>FINI</t>
  </si>
  <si>
    <t>con Zerbin</t>
  </si>
  <si>
    <t>FITZ-JIM</t>
  </si>
  <si>
    <t>FRATTESI</t>
  </si>
  <si>
    <t>FRENDRUP</t>
  </si>
  <si>
    <t>GAETANO</t>
  </si>
  <si>
    <t>GRILLITSCH</t>
  </si>
  <si>
    <t>GUDMUNSSON</t>
  </si>
  <si>
    <t>ILIC</t>
  </si>
  <si>
    <t>ISAKSEN</t>
  </si>
  <si>
    <t>con Cancellieri</t>
  </si>
  <si>
    <t>JASHARI</t>
  </si>
  <si>
    <t>JONES C.</t>
  </si>
  <si>
    <t>KARLSTROM</t>
  </si>
  <si>
    <t>KEITA M.</t>
  </si>
  <si>
    <t>KIKE PEREZ</t>
  </si>
  <si>
    <t>KONE' M.</t>
  </si>
  <si>
    <t>KOOPMEINERS</t>
  </si>
  <si>
    <t>L. COULIBALY</t>
  </si>
  <si>
    <t>LOBOTKA</t>
  </si>
  <si>
    <t>LOCATELLI</t>
  </si>
  <si>
    <t>LOFTUS-CHEEK</t>
  </si>
  <si>
    <t>MANDRAGORA</t>
  </si>
  <si>
    <t>MASTANTUONO</t>
  </si>
  <si>
    <t>MATIC</t>
  </si>
  <si>
    <t>McKENNIE</t>
  </si>
  <si>
    <t>McTOMINAY</t>
  </si>
  <si>
    <t>MODRIC</t>
  </si>
  <si>
    <t>MORA R.</t>
  </si>
  <si>
    <t>MOREIRA</t>
  </si>
  <si>
    <t>MORO</t>
  </si>
  <si>
    <t>NGOM</t>
  </si>
  <si>
    <t>NICOLUSSI-CAVIGLIA</t>
  </si>
  <si>
    <t>NJIE</t>
  </si>
  <si>
    <t>ODGAARD</t>
  </si>
  <si>
    <t>solo con Bernardeschi</t>
  </si>
  <si>
    <t>ORDONEZ</t>
  </si>
  <si>
    <t>ORISTANIO</t>
  </si>
  <si>
    <t>ORSOLINI</t>
  </si>
  <si>
    <t>PASALIC</t>
  </si>
  <si>
    <t>PAZ N.</t>
  </si>
  <si>
    <t>PERRONE</t>
  </si>
  <si>
    <t>PIEROTTI</t>
  </si>
  <si>
    <t>PIOTROWSKI</t>
  </si>
  <si>
    <t>PISILLI</t>
  </si>
  <si>
    <t>POLITANO</t>
  </si>
  <si>
    <t>PULISIC</t>
  </si>
  <si>
    <t>RABIOT</t>
  </si>
  <si>
    <t>RODRIGUEZ Je.</t>
  </si>
  <si>
    <t>ROMANO</t>
  </si>
  <si>
    <t>ROVELLA</t>
  </si>
  <si>
    <t>ROWE</t>
  </si>
  <si>
    <t>SAELEMAEKERS</t>
  </si>
  <si>
    <t>SAMARDZIC</t>
  </si>
  <si>
    <t>SCHMID</t>
  </si>
  <si>
    <t>SOHM</t>
  </si>
  <si>
    <t>SOW</t>
  </si>
  <si>
    <t>SUCIC</t>
  </si>
  <si>
    <t>TAYLOR K.</t>
  </si>
  <si>
    <t>THORSVEDT</t>
  </si>
  <si>
    <t>con Adzic</t>
  </si>
  <si>
    <t>THURAM K.</t>
  </si>
  <si>
    <t>TOURE' I.</t>
  </si>
  <si>
    <t>TRAORE Hj.</t>
  </si>
  <si>
    <t>UNAI GOMEZ</t>
  </si>
  <si>
    <t>VERGARA</t>
  </si>
  <si>
    <t>VLASIC</t>
  </si>
  <si>
    <t>VOLPATO</t>
  </si>
  <si>
    <t>WINKS</t>
  </si>
  <si>
    <t>ZACCAGNI</t>
  </si>
  <si>
    <t>ZALEWSKI</t>
  </si>
  <si>
    <t>ZAMBO A.</t>
  </si>
  <si>
    <t>ZANIOLO</t>
  </si>
  <si>
    <t>ZERBIN</t>
  </si>
  <si>
    <t>con Fini</t>
  </si>
  <si>
    <t>ZHEGROVA</t>
  </si>
  <si>
    <t>ZIELINSKI</t>
  </si>
  <si>
    <t>ADAMS A.</t>
  </si>
  <si>
    <t>ADAMS C.</t>
  </si>
  <si>
    <t>BERARDI</t>
  </si>
  <si>
    <t>Rischio Inf., Rig., Piaz.</t>
  </si>
  <si>
    <t>BOGA</t>
  </si>
  <si>
    <t>BONNY</t>
  </si>
  <si>
    <t>BOWIE</t>
  </si>
  <si>
    <t>CAMARDA</t>
  </si>
  <si>
    <t>CASTRO</t>
  </si>
  <si>
    <t>con Malen (pref.)</t>
  </si>
  <si>
    <t>COLOMBO</t>
  </si>
  <si>
    <t>CUTRONE</t>
  </si>
  <si>
    <t>DAVIES K.</t>
  </si>
  <si>
    <t>Rischio Inf., Rig.</t>
  </si>
  <si>
    <t>DE KETELAERE</t>
  </si>
  <si>
    <t>DIA</t>
  </si>
  <si>
    <t>DIAO</t>
  </si>
  <si>
    <t>DOUVIKAS</t>
  </si>
  <si>
    <t>DOVBYK</t>
  </si>
  <si>
    <t>DYBALA</t>
  </si>
  <si>
    <t>Rischio Inf., Piaz.</t>
  </si>
  <si>
    <t>ELPHEGE</t>
  </si>
  <si>
    <t>ESPOSITO F. P.</t>
  </si>
  <si>
    <t>GEUBBELS</t>
  </si>
  <si>
    <t>GIMENEZ</t>
  </si>
  <si>
    <t>con Ramos G.</t>
  </si>
  <si>
    <t>HOJLUND</t>
  </si>
  <si>
    <t>KEAN</t>
  </si>
  <si>
    <t>KEVIN CARLOS</t>
  </si>
  <si>
    <t>KOLO MUANI</t>
  </si>
  <si>
    <t>KRSTOVIC</t>
  </si>
  <si>
    <t>KVERNADZE</t>
  </si>
  <si>
    <t>LANG</t>
  </si>
  <si>
    <t>LAURIENTE'</t>
  </si>
  <si>
    <t>LEAO</t>
  </si>
  <si>
    <t>LONTANI</t>
  </si>
  <si>
    <t>LUCCA</t>
  </si>
  <si>
    <t>con Hojlund</t>
  </si>
  <si>
    <t>MALDINI</t>
  </si>
  <si>
    <t>MALEN</t>
  </si>
  <si>
    <t>MARTINEZ L.</t>
  </si>
  <si>
    <t>MENDY P.</t>
  </si>
  <si>
    <t>MOTA</t>
  </si>
  <si>
    <t>N'DRI</t>
  </si>
  <si>
    <t>NERES</t>
  </si>
  <si>
    <t>NOSLIN</t>
  </si>
  <si>
    <t>PELLEGRINO</t>
  </si>
  <si>
    <t>PICCOLI</t>
  </si>
  <si>
    <t>PINAMONTI</t>
  </si>
  <si>
    <t>RAIMONDO</t>
  </si>
  <si>
    <t>RAMOS G.</t>
  </si>
  <si>
    <t>RASPADORI</t>
  </si>
  <si>
    <t>RATKOV</t>
  </si>
  <si>
    <t>SANTOS A.</t>
  </si>
  <si>
    <t>SCAMACCA</t>
  </si>
  <si>
    <t>SIMEONE</t>
  </si>
  <si>
    <t>SOULE'</t>
  </si>
  <si>
    <t>STULIC</t>
  </si>
  <si>
    <t>SULEMANA K.</t>
  </si>
  <si>
    <t>THURAM M.</t>
  </si>
  <si>
    <t>TOURE' E.B.</t>
  </si>
  <si>
    <t>VARELA G.</t>
  </si>
  <si>
    <t>VITINHA</t>
  </si>
  <si>
    <t>YEBOAH</t>
  </si>
  <si>
    <t>YILDIZ</t>
  </si>
  <si>
    <t>ZAPATA</t>
  </si>
  <si>
    <t>Budget Iniziale</t>
  </si>
  <si>
    <t>Crediti Spesi</t>
  </si>
  <si>
    <t>Ruolo</t>
  </si>
  <si>
    <t>Target O/P</t>
  </si>
  <si>
    <t>Target Tit</t>
  </si>
  <si>
    <t>Poss. O/P</t>
  </si>
  <si>
    <t>Poss Tit.</t>
  </si>
  <si>
    <t>Nec. O/P</t>
  </si>
  <si>
    <t>Nec. Tit</t>
  </si>
  <si>
    <t>Nec. Scm/Sca</t>
  </si>
  <si>
    <t>Futuro se O/P</t>
  </si>
  <si>
    <t>Futuro se Tit</t>
  </si>
  <si>
    <t>Futuro se Scm/Sca</t>
  </si>
  <si>
    <t>Atteso Attuale</t>
  </si>
  <si>
    <t>Atteso dopo O/P</t>
  </si>
  <si>
    <t>Atteso dopo Tit</t>
  </si>
  <si>
    <t>Atteso dopo Scm/Sca</t>
  </si>
  <si>
    <t>Fattore O/P</t>
  </si>
  <si>
    <t>Fattore Tit</t>
  </si>
  <si>
    <t>Fattore Scm/Sca</t>
  </si>
  <si>
    <t>Potenza</t>
  </si>
  <si>
    <t>Tolleranza P</t>
  </si>
  <si>
    <t>Crediti Residui</t>
  </si>
  <si>
    <t>Tolleranza D</t>
  </si>
  <si>
    <t>Budget Medio / Slot</t>
  </si>
  <si>
    <t>Tolleranza C</t>
  </si>
  <si>
    <t>Slot Portieri (Tot / Liberi)</t>
  </si>
  <si>
    <t>P</t>
  </si>
  <si>
    <t>Slot Difensori (Tot / Liberi)</t>
  </si>
  <si>
    <t>D</t>
  </si>
  <si>
    <t>Slot Centrocampisti (Tot / Liberi)</t>
  </si>
  <si>
    <t>C</t>
  </si>
  <si>
    <t>Slot Attaccanti (Tot / Liberi)</t>
  </si>
  <si>
    <t>A</t>
  </si>
  <si>
    <t>Slot Liberi Totali</t>
  </si>
  <si>
    <t>Costo Atteso Rimanenti</t>
  </si>
  <si>
    <t>Slot</t>
  </si>
  <si>
    <t>Crediti</t>
  </si>
  <si>
    <t>CONTROL PANEL — STATO ASTA</t>
  </si>
  <si>
    <t>Monitoraggio sintetico di budget, slot, ruoli e composizione della rosa</t>
  </si>
  <si>
    <t>Crediti spesi</t>
  </si>
  <si>
    <t>% Budget Speso</t>
  </si>
  <si>
    <t>Slot Totali</t>
  </si>
  <si>
    <t>Slot Occupati</t>
  </si>
  <si>
    <t>Slot Liberi</t>
  </si>
  <si>
    <t>Stato Asta</t>
  </si>
  <si>
    <t>Costo Atteso Futuro</t>
  </si>
  <si>
    <t>Margine vs Atteso</t>
  </si>
  <si>
    <t>Asta Registrata</t>
  </si>
  <si>
    <t>Giocatori Comprati</t>
  </si>
  <si>
    <t>Prezzo Medio Reale</t>
  </si>
  <si>
    <t>Acquisti Extra</t>
  </si>
  <si>
    <t>STATO PER RUOLO</t>
  </si>
  <si>
    <t>SEGNALI DI CONTROLLO</t>
  </si>
  <si>
    <t>Slot Tot.</t>
  </si>
  <si>
    <t>Liberi</t>
  </si>
  <si>
    <t>Occupati</t>
  </si>
  <si>
    <t>Budget</t>
  </si>
  <si>
    <t>Spesi</t>
  </si>
  <si>
    <t>Residui</t>
  </si>
  <si>
    <t>% Budget</t>
  </si>
  <si>
    <t>Crediti / Slot (Reali)</t>
  </si>
  <si>
    <t>Budget Reale vs Atteso</t>
  </si>
  <si>
    <t>Budget P Residuo</t>
  </si>
  <si>
    <t>Budget D Residuo</t>
  </si>
  <si>
    <t>Budget C Residuo</t>
  </si>
  <si>
    <t>Budget A Residuo</t>
  </si>
  <si>
    <t>COMPOSIZIONE CAT DELLA ROSA</t>
  </si>
  <si>
    <t>LETTURA RAPIDA</t>
  </si>
  <si>
    <t>Occ/Pun</t>
  </si>
  <si>
    <t>Scm/Sca</t>
  </si>
  <si>
    <t>Totale</t>
  </si>
  <si>
    <t>% O/P</t>
  </si>
  <si>
    <t>% Tit</t>
  </si>
  <si>
    <t>% Scm/Sca</t>
  </si>
  <si>
    <t>Residuo = budget di ruolo meno spesa reale.
% budget mostra quanto del budget ruolo è già impegnato.
La composizione CAT considera solo i giocatori con categoria nota.
Il pannello è descrittivo: non modifica nessuna formula dell'asta.</t>
  </si>
  <si>
    <t>Budget Previsto</t>
  </si>
  <si>
    <t>Speso</t>
  </si>
  <si>
    <t>Stati Giocatore</t>
  </si>
  <si>
    <t>M</t>
  </si>
  <si>
    <t>DA PUNTARE</t>
  </si>
  <si>
    <t>SOLO SE OCCASIONE</t>
  </si>
  <si>
    <t>TITOLARI</t>
  </si>
  <si>
    <t>SCOMMESSE</t>
  </si>
  <si>
    <t>SCARTI</t>
  </si>
  <si>
    <t>PRATI</t>
  </si>
  <si>
    <t>THROSVEDT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</si>
</sst>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7ABA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FC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B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</fills>
  <borders count="6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12">
    <xf numFmtId="0" fontId="0" fillId="0" borderId="0" xfId="0"/>
    <xf numFmtId="0" fontId="0" fillId="0" borderId="3" xfId="0" applyBorder="1"/>
    <xf numFmtId="0" fontId="0" fillId="0" borderId="7" xfId="0" applyBorder="1"/>
    <xf numFmtId="0" fontId="0" fillId="2" borderId="10" xfId="0" applyFill="1" applyBorder="1"/>
    <xf numFmtId="0" fontId="0" fillId="2" borderId="11" xfId="0" applyFill="1" applyBorder="1"/>
    <xf numFmtId="0" fontId="0" fillId="0" borderId="10" xfId="0" applyBorder="1"/>
    <xf numFmtId="0" fontId="0" fillId="0" borderId="11" xfId="0" applyBorder="1"/>
    <xf numFmtId="0" fontId="0" fillId="2" borderId="12" xfId="0" applyFill="1" applyBorder="1"/>
    <xf numFmtId="0" fontId="0" fillId="0" borderId="12" xfId="0" applyBorder="1"/>
    <xf numFmtId="0" fontId="0" fillId="2" borderId="13" xfId="0" applyFill="1" applyBorder="1"/>
    <xf numFmtId="0" fontId="0" fillId="0" borderId="13" xfId="0" applyBorder="1"/>
    <xf numFmtId="0" fontId="0" fillId="0" borderId="15" xfId="0" applyBorder="1"/>
    <xf numFmtId="0" fontId="0" fillId="0" borderId="14" xfId="0" applyBorder="1"/>
    <xf numFmtId="0" fontId="0" fillId="0" borderId="20" xfId="0" applyBorder="1"/>
    <xf numFmtId="0" fontId="0" fillId="0" borderId="16" xfId="0" applyBorder="1"/>
    <xf numFmtId="0" fontId="0" fillId="2" borderId="8" xfId="0" applyFill="1" applyBorder="1"/>
    <xf numFmtId="0" fontId="0" fillId="2" borderId="21" xfId="0" applyFill="1" applyBorder="1"/>
    <xf numFmtId="0" fontId="0" fillId="2" borderId="9" xfId="0" applyFill="1" applyBorder="1"/>
    <xf numFmtId="0" fontId="0" fillId="2" borderId="22" xfId="0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applyBorder="1"/>
    <xf numFmtId="0" fontId="0" fillId="2" borderId="30" xfId="0" applyFill="1" applyBorder="1"/>
    <xf numFmtId="0" fontId="0" fillId="2" borderId="31" xfId="0" applyFill="1" applyBorder="1"/>
    <xf numFmtId="0" fontId="0" fillId="2" borderId="32" xfId="0" applyFill="1" applyBorder="1"/>
    <xf numFmtId="0" fontId="0" fillId="2" borderId="33" xfId="0" applyFill="1" applyBorder="1"/>
    <xf numFmtId="0" fontId="0" fillId="3" borderId="8" xfId="0" applyFill="1" applyBorder="1"/>
    <xf numFmtId="0" fontId="0" fillId="3" borderId="21" xfId="0" applyFill="1" applyBorder="1"/>
    <xf numFmtId="0" fontId="0" fillId="3" borderId="9" xfId="0" applyFill="1" applyBorder="1"/>
    <xf numFmtId="0" fontId="0" fillId="3" borderId="22" xfId="0" applyFill="1" applyBorder="1"/>
    <xf numFmtId="0" fontId="0" fillId="3" borderId="10" xfId="0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13" xfId="0" applyFill="1" applyBorder="1"/>
    <xf numFmtId="0" fontId="1" fillId="3" borderId="12" xfId="0" applyFont="1" applyFill="1" applyBorder="1"/>
    <xf numFmtId="0" fontId="0" fillId="3" borderId="30" xfId="0" applyFill="1" applyBorder="1"/>
    <xf numFmtId="0" fontId="1" fillId="2" borderId="21" xfId="0" applyFont="1" applyFill="1" applyBorder="1"/>
    <xf numFmtId="0" fontId="0" fillId="3" borderId="31" xfId="0" applyFill="1" applyBorder="1"/>
    <xf numFmtId="0" fontId="0" fillId="3" borderId="32" xfId="0" applyFill="1" applyBorder="1"/>
    <xf numFmtId="0" fontId="0" fillId="3" borderId="33" xfId="0" applyFill="1" applyBorder="1"/>
    <xf numFmtId="0" fontId="1" fillId="2" borderId="30" xfId="0" applyFont="1" applyFill="1" applyBorder="1"/>
    <xf numFmtId="0" fontId="1" fillId="3" borderId="11" xfId="0" applyFont="1" applyFill="1" applyBorder="1"/>
    <xf numFmtId="0" fontId="0" fillId="4" borderId="8" xfId="0" applyFill="1" applyBorder="1"/>
    <xf numFmtId="0" fontId="0" fillId="4" borderId="21" xfId="0" applyFill="1" applyBorder="1"/>
    <xf numFmtId="0" fontId="0" fillId="4" borderId="9" xfId="0" applyFill="1" applyBorder="1"/>
    <xf numFmtId="0" fontId="0" fillId="4" borderId="22" xfId="0" applyFill="1" applyBorder="1"/>
    <xf numFmtId="0" fontId="0" fillId="4" borderId="10" xfId="0" applyFill="1" applyBorder="1"/>
    <xf numFmtId="0" fontId="0" fillId="4" borderId="12" xfId="0" applyFill="1" applyBorder="1"/>
    <xf numFmtId="0" fontId="0" fillId="4" borderId="11" xfId="0" applyFill="1" applyBorder="1"/>
    <xf numFmtId="0" fontId="0" fillId="4" borderId="13" xfId="0" applyFill="1" applyBorder="1"/>
    <xf numFmtId="0" fontId="1" fillId="4" borderId="12" xfId="0" applyFont="1" applyFill="1" applyBorder="1"/>
    <xf numFmtId="0" fontId="1" fillId="4" borderId="10" xfId="0" applyFont="1" applyFill="1" applyBorder="1"/>
    <xf numFmtId="0" fontId="0" fillId="4" borderId="30" xfId="0" applyFill="1" applyBorder="1"/>
    <xf numFmtId="0" fontId="0" fillId="4" borderId="31" xfId="0" applyFill="1" applyBorder="1"/>
    <xf numFmtId="0" fontId="0" fillId="4" borderId="32" xfId="0" applyFill="1" applyBorder="1"/>
    <xf numFmtId="0" fontId="0" fillId="4" borderId="33" xfId="0" applyFill="1" applyBorder="1"/>
    <xf numFmtId="0" fontId="0" fillId="5" borderId="8" xfId="0" applyFill="1" applyBorder="1"/>
    <xf numFmtId="0" fontId="0" fillId="5" borderId="21" xfId="0" applyFill="1" applyBorder="1"/>
    <xf numFmtId="0" fontId="0" fillId="5" borderId="9" xfId="0" applyFill="1" applyBorder="1"/>
    <xf numFmtId="0" fontId="0" fillId="5" borderId="22" xfId="0" applyFill="1" applyBorder="1"/>
    <xf numFmtId="0" fontId="0" fillId="5" borderId="10" xfId="0" applyFill="1" applyBorder="1"/>
    <xf numFmtId="0" fontId="0" fillId="5" borderId="12" xfId="0" applyFill="1" applyBorder="1"/>
    <xf numFmtId="0" fontId="0" fillId="5" borderId="11" xfId="0" applyFill="1" applyBorder="1"/>
    <xf numFmtId="0" fontId="0" fillId="5" borderId="13" xfId="0" applyFill="1" applyBorder="1"/>
    <xf numFmtId="0" fontId="1" fillId="5" borderId="10" xfId="0" applyFont="1" applyFill="1" applyBorder="1"/>
    <xf numFmtId="0" fontId="1" fillId="5" borderId="12" xfId="0" applyFont="1" applyFill="1" applyBorder="1"/>
    <xf numFmtId="0" fontId="1" fillId="5" borderId="13" xfId="0" applyFont="1" applyFill="1" applyBorder="1"/>
    <xf numFmtId="0" fontId="0" fillId="5" borderId="23" xfId="0" applyFill="1" applyBorder="1"/>
    <xf numFmtId="0" fontId="1" fillId="5" borderId="24" xfId="0" applyFont="1" applyFill="1" applyBorder="1"/>
    <xf numFmtId="0" fontId="0" fillId="5" borderId="25" xfId="0" applyFill="1" applyBorder="1"/>
    <xf numFmtId="0" fontId="0" fillId="5" borderId="26" xfId="0" applyFill="1" applyBorder="1"/>
    <xf numFmtId="0" fontId="0" fillId="5" borderId="24" xfId="0" applyFill="1" applyBorder="1"/>
    <xf numFmtId="0" fontId="0" fillId="0" borderId="4" xfId="0" applyBorder="1"/>
    <xf numFmtId="0" fontId="0" fillId="0" borderId="6" xfId="0" applyBorder="1"/>
    <xf numFmtId="0" fontId="0" fillId="0" borderId="1" xfId="0" applyBorder="1"/>
    <xf numFmtId="0" fontId="0" fillId="0" borderId="2" xfId="0" applyBorder="1"/>
    <xf numFmtId="0" fontId="0" fillId="0" borderId="34" xfId="0" applyBorder="1"/>
    <xf numFmtId="0" fontId="0" fillId="0" borderId="36" xfId="0" applyBorder="1"/>
    <xf numFmtId="0" fontId="0" fillId="0" borderId="37" xfId="0" applyBorder="1"/>
    <xf numFmtId="0" fontId="0" fillId="2" borderId="38" xfId="0" applyFill="1" applyBorder="1"/>
    <xf numFmtId="0" fontId="0" fillId="2" borderId="39" xfId="0" applyFill="1" applyBorder="1"/>
    <xf numFmtId="0" fontId="1" fillId="2" borderId="39" xfId="0" applyFont="1" applyFill="1" applyBorder="1"/>
    <xf numFmtId="0" fontId="0" fillId="2" borderId="40" xfId="0" applyFill="1" applyBorder="1"/>
    <xf numFmtId="0" fontId="0" fillId="0" borderId="42" xfId="0" applyBorder="1"/>
    <xf numFmtId="0" fontId="0" fillId="0" borderId="42" xfId="0" applyBorder="1" applyAlignment="1"/>
    <xf numFmtId="0" fontId="0" fillId="0" borderId="43" xfId="0" applyBorder="1"/>
    <xf numFmtId="0" fontId="0" fillId="6" borderId="41" xfId="0" applyFill="1" applyBorder="1" applyAlignment="1"/>
    <xf numFmtId="0" fontId="0" fillId="6" borderId="0" xfId="0" applyFill="1" applyBorder="1"/>
    <xf numFmtId="0" fontId="0" fillId="6" borderId="42" xfId="0" applyFill="1" applyBorder="1"/>
    <xf numFmtId="0" fontId="0" fillId="7" borderId="35" xfId="0" applyFill="1" applyBorder="1" applyAlignment="1"/>
    <xf numFmtId="0" fontId="0" fillId="7" borderId="36" xfId="0" applyFill="1" applyBorder="1" applyAlignment="1"/>
    <xf numFmtId="0" fontId="0" fillId="8" borderId="36" xfId="0" applyFill="1" applyBorder="1" applyAlignment="1"/>
    <xf numFmtId="0" fontId="0" fillId="9" borderId="36" xfId="0" applyFill="1" applyBorder="1"/>
    <xf numFmtId="0" fontId="0" fillId="10" borderId="36" xfId="0" applyFill="1" applyBorder="1"/>
    <xf numFmtId="0" fontId="0" fillId="10" borderId="37" xfId="0" applyFill="1" applyBorder="1"/>
    <xf numFmtId="0" fontId="0" fillId="8" borderId="37" xfId="0" applyFill="1" applyBorder="1" applyAlignment="1"/>
    <xf numFmtId="0" fontId="0" fillId="11" borderId="0" xfId="0" applyFill="1" applyBorder="1"/>
    <xf numFmtId="0" fontId="0" fillId="0" borderId="33" xfId="0" applyBorder="1"/>
    <xf numFmtId="0" fontId="0" fillId="11" borderId="36" xfId="0" applyFill="1" applyBorder="1"/>
    <xf numFmtId="0" fontId="0" fillId="0" borderId="44" xfId="0" applyBorder="1"/>
    <xf numFmtId="0" fontId="0" fillId="0" borderId="45" xfId="0" applyBorder="1"/>
    <xf numFmtId="0" fontId="0" fillId="6" borderId="47" xfId="0" applyFill="1" applyBorder="1"/>
    <xf numFmtId="0" fontId="0" fillId="0" borderId="47" xfId="0" applyBorder="1"/>
    <xf numFmtId="0" fontId="0" fillId="0" borderId="46" xfId="0" applyBorder="1"/>
    <xf numFmtId="0" fontId="0" fillId="10" borderId="45" xfId="0" applyFill="1" applyBorder="1"/>
    <xf numFmtId="0" fontId="0" fillId="0" borderId="48" xfId="0" applyBorder="1"/>
    <xf numFmtId="0" fontId="0" fillId="11" borderId="45" xfId="0" applyFill="1" applyBorder="1"/>
    <xf numFmtId="0" fontId="0" fillId="7" borderId="37" xfId="0" applyFill="1" applyBorder="1" applyAlignment="1"/>
    <xf numFmtId="0" fontId="0" fillId="4" borderId="48" xfId="0" applyFill="1" applyBorder="1"/>
    <xf numFmtId="0" fontId="0" fillId="4" borderId="39" xfId="0" applyFill="1" applyBorder="1"/>
    <xf numFmtId="0" fontId="1" fillId="4" borderId="39" xfId="0" applyFont="1" applyFill="1" applyBorder="1"/>
    <xf numFmtId="0" fontId="0" fillId="0" borderId="49" xfId="0" applyBorder="1"/>
    <xf numFmtId="0" fontId="0" fillId="4" borderId="40" xfId="0" applyFill="1" applyBorder="1"/>
    <xf numFmtId="0" fontId="0" fillId="6" borderId="46" xfId="0" applyFill="1" applyBorder="1"/>
    <xf numFmtId="0" fontId="0" fillId="5" borderId="48" xfId="0" applyFill="1" applyBorder="1"/>
    <xf numFmtId="0" fontId="0" fillId="5" borderId="39" xfId="0" applyFill="1" applyBorder="1"/>
    <xf numFmtId="0" fontId="1" fillId="5" borderId="39" xfId="0" applyFont="1" applyFill="1" applyBorder="1"/>
    <xf numFmtId="0" fontId="0" fillId="6" borderId="42" xfId="0" applyFill="1" applyBorder="1" applyAlignment="1"/>
    <xf numFmtId="0" fontId="0" fillId="6" borderId="43" xfId="0" applyFill="1" applyBorder="1" applyAlignment="1"/>
    <xf numFmtId="0" fontId="0" fillId="12" borderId="44" xfId="0" applyFill="1" applyBorder="1"/>
    <xf numFmtId="0" fontId="0" fillId="12" borderId="45" xfId="0" applyFill="1" applyBorder="1"/>
    <xf numFmtId="0" fontId="0" fillId="12" borderId="36" xfId="0" applyFill="1" applyBorder="1"/>
    <xf numFmtId="0" fontId="0" fillId="12" borderId="0" xfId="0" applyFill="1" applyBorder="1"/>
    <xf numFmtId="0" fontId="0" fillId="12" borderId="0" xfId="0" applyFill="1" applyBorder="1" applyAlignment="1"/>
    <xf numFmtId="0" fontId="0" fillId="6" borderId="50" xfId="0" applyFill="1" applyBorder="1"/>
    <xf numFmtId="0" fontId="0" fillId="12" borderId="37" xfId="0" applyFill="1" applyBorder="1"/>
    <xf numFmtId="0" fontId="0" fillId="12" borderId="6" xfId="0" applyFill="1" applyBorder="1"/>
    <xf numFmtId="0" fontId="0" fillId="12" borderId="46" xfId="0" applyFill="1" applyBorder="1"/>
    <xf numFmtId="0" fontId="0" fillId="12" borderId="47" xfId="0" applyFill="1" applyBorder="1" applyAlignment="1"/>
    <xf numFmtId="0" fontId="0" fillId="12" borderId="47" xfId="0" applyFill="1" applyBorder="1"/>
    <xf numFmtId="0" fontId="0" fillId="0" borderId="51" xfId="0" applyBorder="1"/>
    <xf numFmtId="0" fontId="0" fillId="12" borderId="49" xfId="0" applyFill="1" applyBorder="1"/>
    <xf numFmtId="0" fontId="0" fillId="6" borderId="5" xfId="0" applyFill="1" applyBorder="1"/>
    <xf numFmtId="0" fontId="0" fillId="0" borderId="52" xfId="0" applyBorder="1"/>
    <xf numFmtId="0" fontId="0" fillId="12" borderId="52" xfId="0" applyFill="1" applyBorder="1"/>
    <xf numFmtId="0" fontId="1" fillId="12" borderId="0" xfId="0" applyFont="1" applyFill="1" applyBorder="1"/>
    <xf numFmtId="0" fontId="0" fillId="13" borderId="0" xfId="0" applyFill="1"/>
    <xf numFmtId="0" fontId="2" fillId="14" borderId="0" xfId="0" applyFont="1" applyFill="1"/>
    <xf numFmtId="1" fontId="0" fillId="12" borderId="44" xfId="0" applyNumberFormat="1" applyFill="1" applyBorder="1"/>
    <xf numFmtId="1" fontId="0" fillId="12" borderId="45" xfId="0" applyNumberFormat="1" applyFill="1" applyBorder="1"/>
    <xf numFmtId="1" fontId="0" fillId="12" borderId="0" xfId="0" applyNumberFormat="1" applyFill="1" applyBorder="1"/>
    <xf numFmtId="1" fontId="0" fillId="12" borderId="52" xfId="0" applyNumberFormat="1" applyFill="1" applyBorder="1"/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2" fontId="0" fillId="0" borderId="0" xfId="0" applyNumberFormat="1"/>
    <xf numFmtId="0" fontId="0" fillId="7" borderId="7" xfId="0" applyFill="1" applyBorder="1"/>
    <xf numFmtId="0" fontId="0" fillId="7" borderId="10" xfId="0" applyFill="1" applyBorder="1"/>
    <xf numFmtId="0" fontId="0" fillId="7" borderId="11" xfId="0" applyFill="1" applyBorder="1"/>
    <xf numFmtId="0" fontId="0" fillId="7" borderId="23" xfId="0" applyFill="1" applyBorder="1"/>
    <xf numFmtId="0" fontId="0" fillId="7" borderId="53" xfId="0" applyFill="1" applyBorder="1"/>
    <xf numFmtId="0" fontId="0" fillId="7" borderId="25" xfId="0" applyFill="1" applyBorder="1"/>
    <xf numFmtId="0" fontId="0" fillId="10" borderId="0" xfId="0" applyFill="1" applyBorder="1"/>
    <xf numFmtId="0" fontId="0" fillId="3" borderId="48" xfId="0" applyFill="1" applyBorder="1"/>
    <xf numFmtId="0" fontId="0" fillId="3" borderId="39" xfId="0" applyFill="1" applyBorder="1"/>
    <xf numFmtId="0" fontId="1" fillId="3" borderId="39" xfId="0" applyFont="1" applyFill="1" applyBorder="1"/>
    <xf numFmtId="0" fontId="0" fillId="3" borderId="40" xfId="0" applyFill="1" applyBorder="1"/>
    <xf numFmtId="0" fontId="0" fillId="12" borderId="49" xfId="0" applyFill="1" applyBorder="1" applyAlignment="1"/>
    <xf numFmtId="0" fontId="0" fillId="0" borderId="5" xfId="0" applyBorder="1"/>
    <xf numFmtId="0" fontId="0" fillId="0" borderId="50" xfId="0" applyBorder="1"/>
    <xf numFmtId="0" fontId="1" fillId="6" borderId="42" xfId="0" applyFont="1" applyFill="1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7" borderId="18" xfId="0" applyFill="1" applyBorder="1"/>
    <xf numFmtId="0" fontId="0" fillId="7" borderId="16" xfId="0" applyFill="1" applyBorder="1"/>
    <xf numFmtId="0" fontId="0" fillId="7" borderId="19" xfId="0" applyFill="1" applyBorder="1"/>
    <xf numFmtId="0" fontId="0" fillId="15" borderId="54" xfId="0" applyFill="1" applyBorder="1"/>
    <xf numFmtId="0" fontId="0" fillId="15" borderId="14" xfId="0" applyFill="1" applyBorder="1"/>
    <xf numFmtId="0" fontId="0" fillId="15" borderId="55" xfId="0" applyFill="1" applyBorder="1"/>
    <xf numFmtId="1" fontId="0" fillId="12" borderId="61" xfId="0" applyNumberFormat="1" applyFill="1" applyBorder="1"/>
    <xf numFmtId="0" fontId="0" fillId="5" borderId="62" xfId="0" applyFill="1" applyBorder="1"/>
    <xf numFmtId="0" fontId="0" fillId="12" borderId="61" xfId="0" applyFill="1" applyBorder="1"/>
    <xf numFmtId="0" fontId="0" fillId="16" borderId="4" xfId="0" applyFill="1" applyBorder="1" applyAlignment="1">
      <alignment horizontal="center"/>
    </xf>
    <xf numFmtId="0" fontId="0" fillId="16" borderId="6" xfId="0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56" xfId="0" applyBorder="1" applyAlignment="1"/>
    <xf numFmtId="0" fontId="0" fillId="0" borderId="2" xfId="0" applyBorder="1" applyAlignment="1"/>
    <xf numFmtId="0" fontId="0" fillId="16" borderId="56" xfId="0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10" fontId="0" fillId="0" borderId="0" xfId="0" applyNumberFormat="1" applyBorder="1"/>
    <xf numFmtId="10" fontId="0" fillId="0" borderId="59" xfId="0" applyNumberFormat="1" applyBorder="1"/>
    <xf numFmtId="0" fontId="0" fillId="0" borderId="0" xfId="0" applyBorder="1" applyAlignment="1"/>
    <xf numFmtId="0" fontId="0" fillId="1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" xfId="0" applyBorder="1" applyAlignment="1">
      <alignment horizontal="center"/>
    </xf>
    <xf numFmtId="10" fontId="0" fillId="0" borderId="57" xfId="0" applyNumberFormat="1" applyBorder="1"/>
    <xf numFmtId="10" fontId="0" fillId="0" borderId="60" xfId="0" applyNumberFormat="1" applyBorder="1"/>
    <xf numFmtId="0" fontId="0" fillId="2" borderId="34" xfId="0" applyFill="1" applyBorder="1"/>
    <xf numFmtId="0" fontId="0" fillId="0" borderId="61" xfId="0" applyBorder="1"/>
    <xf numFmtId="10" fontId="0" fillId="2" borderId="0" xfId="0" applyNumberFormat="1" applyFill="1" applyBorder="1"/>
    <xf numFmtId="10" fontId="0" fillId="2" borderId="59" xfId="0" applyNumberFormat="1" applyFill="1" applyBorder="1"/>
    <xf numFmtId="0" fontId="0" fillId="16" borderId="4" xfId="0" applyFill="1" applyBorder="1" applyAlignment="1">
      <alignment horizontal="center"/>
    </xf>
    <xf numFmtId="0" fontId="0" fillId="16" borderId="6" xfId="0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6" borderId="0" xfId="0" applyFill="1" applyBorder="1" applyAlignment="1"/>
    <xf numFmtId="0" fontId="0" fillId="10" borderId="57" xfId="0" applyFill="1" applyBorder="1"/>
    <xf numFmtId="0" fontId="0" fillId="10" borderId="59" xfId="0" applyFill="1" applyBorder="1"/>
    <xf numFmtId="0" fontId="0" fillId="2" borderId="2" xfId="0" applyFill="1" applyBorder="1"/>
    <xf numFmtId="0" fontId="0" fillId="14" borderId="0" xfId="0" applyFill="1" applyBorder="1"/>
    <xf numFmtId="0" fontId="0" fillId="14" borderId="59" xfId="0" applyFill="1" applyBorder="1"/>
    <xf numFmtId="10" fontId="0" fillId="14" borderId="0" xfId="0" applyNumberFormat="1" applyFill="1" applyBorder="1"/>
  </cellXfs>
  <cellStyles count="1">
    <cellStyle name="Normale" xfId="0" builtinId="0"/>
  </cellStyles>
  <dxfs count="8">
    <dxf>
      <fill>
        <patternFill patternType="solid">
          <fgColor rgb="FFFFF2CC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2BFF00"/>
      <color rgb="FFB1FCF7"/>
      <color rgb="FFF7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Control_Panel!$J$25</c:f>
              <c:strCache>
                <c:ptCount val="1"/>
                <c:pt idx="0">
                  <c:v>Budget Previsto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Control_Panel!$I$26:$I$29</c:f>
              <c:strCache>
                <c:ptCount val="4"/>
                <c:pt idx="0">
                  <c:v>P</c:v>
                </c:pt>
                <c:pt idx="1">
                  <c:v>D</c:v>
                </c:pt>
                <c:pt idx="2">
                  <c:v>C</c:v>
                </c:pt>
                <c:pt idx="3">
                  <c:v>A</c:v>
                </c:pt>
              </c:strCache>
            </c:strRef>
          </c:cat>
          <c:val>
            <c:numRef>
              <c:f>Control_Panel!$J$26:$J$29</c:f>
              <c:numCache>
                <c:formatCode>General</c:formatCode>
                <c:ptCount val="4"/>
                <c:pt idx="0">
                  <c:v>30</c:v>
                </c:pt>
                <c:pt idx="1">
                  <c:v>45</c:v>
                </c:pt>
                <c:pt idx="2">
                  <c:v>100</c:v>
                </c:pt>
                <c:pt idx="3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F-43AD-BE81-68CE8D9D787D}"/>
            </c:ext>
          </c:extLst>
        </c:ser>
        <c:ser>
          <c:idx val="1"/>
          <c:order val="1"/>
          <c:tx>
            <c:strRef>
              <c:f>Control_Panel!$K$25</c:f>
              <c:strCache>
                <c:ptCount val="1"/>
                <c:pt idx="0">
                  <c:v>Speso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Control_Panel!$I$26:$I$29</c:f>
              <c:strCache>
                <c:ptCount val="4"/>
                <c:pt idx="0">
                  <c:v>P</c:v>
                </c:pt>
                <c:pt idx="1">
                  <c:v>D</c:v>
                </c:pt>
                <c:pt idx="2">
                  <c:v>C</c:v>
                </c:pt>
                <c:pt idx="3">
                  <c:v>A</c:v>
                </c:pt>
              </c:strCache>
            </c:strRef>
          </c:cat>
          <c:val>
            <c:numRef>
              <c:f>Control_Panel!$K$26:$K$29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7F-43AD-BE81-68CE8D9D7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8059783"/>
        <c:axId val="1778525191"/>
      </c:barChart>
      <c:catAx>
        <c:axId val="1778059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525191"/>
        <c:crosses val="autoZero"/>
        <c:auto val="1"/>
        <c:lblAlgn val="ctr"/>
        <c:lblOffset val="100"/>
        <c:noMultiLvlLbl val="0"/>
      </c:catAx>
      <c:valAx>
        <c:axId val="1778525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059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22</xdr:row>
      <xdr:rowOff>123825</xdr:rowOff>
    </xdr:from>
    <xdr:to>
      <xdr:col>11</xdr:col>
      <xdr:colOff>819150</xdr:colOff>
      <xdr:row>34</xdr:row>
      <xdr:rowOff>171450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70604DA-323F-C69D-92E0-95FF39164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B9E3-74CD-4EC8-8DED-9BC98114F195}">
  <dimension ref="A1:L95"/>
  <sheetViews>
    <sheetView workbookViewId="0">
      <selection activeCell="F14" sqref="F14"/>
    </sheetView>
  </sheetViews>
  <sheetFormatPr defaultRowHeight="15"/>
  <cols>
    <col min="1" max="1" width="20" style="22" bestFit="1" customWidth="1"/>
    <col min="2" max="2" width="4.5703125" style="22" bestFit="1" customWidth="1"/>
    <col min="3" max="3" width="5.28515625" style="22" bestFit="1" customWidth="1"/>
    <col min="4" max="4" width="7.42578125" style="22" bestFit="1" customWidth="1"/>
    <col min="5" max="5" width="13.7109375" style="22" bestFit="1" customWidth="1"/>
    <col min="6" max="6" width="9.7109375" style="142" bestFit="1" customWidth="1"/>
    <col min="7" max="7" width="20.85546875" style="22" bestFit="1" customWidth="1"/>
    <col min="8" max="8" width="16.28515625" style="22" bestFit="1" customWidth="1"/>
    <col min="9" max="9" width="7.140625" style="22" bestFit="1" customWidth="1"/>
    <col min="10" max="10" width="10.5703125" style="22" bestFit="1" customWidth="1"/>
    <col min="11" max="11" width="11.28515625" style="22" bestFit="1" customWidth="1"/>
    <col min="12" max="16384" width="9.140625" style="22"/>
  </cols>
  <sheetData>
    <row r="1" spans="1:12">
      <c r="A1" s="75" t="s">
        <v>0</v>
      </c>
      <c r="B1" s="77" t="s">
        <v>1</v>
      </c>
      <c r="C1" s="76" t="s">
        <v>2</v>
      </c>
      <c r="D1" s="73" t="s">
        <v>3</v>
      </c>
      <c r="E1" s="100" t="s">
        <v>4</v>
      </c>
      <c r="F1" s="139" t="s">
        <v>5</v>
      </c>
      <c r="G1" s="76" t="s">
        <v>6</v>
      </c>
    </row>
    <row r="2" spans="1:12">
      <c r="A2" s="80" t="s">
        <v>7</v>
      </c>
      <c r="B2" s="90" t="s">
        <v>8</v>
      </c>
      <c r="C2" s="87">
        <v>18</v>
      </c>
      <c r="D2" s="106" t="s">
        <v>9</v>
      </c>
      <c r="E2" s="101"/>
      <c r="F2" s="140">
        <f>IF(D2&lt;&gt;"L","-",IF(COUNTA(P!E$2:E$1000)+COUNTA(D!E$2:E$1000)+COUNTA('C'!E$2:E$1000)+COUNTA(A!E$2:E$1000)=0,C2,ROUND(C2*MAX(0.1,IFERROR(Dashboard!B$3/Dashboard!B$10,1))*(1+Dashboard!F$5*IF(B2="Occ",0.5,IF(B2="Pun",0.35,IF(B2="Tit",0.25,IF(B2="Scm",0.15,0.05)))))*IF(OR(B2="Occ",B2="Pun"),Dashboard!V$5,IF(B2="Tit",Dashboard!W$5,Dashboard!X$5)),0)))</f>
        <v>18</v>
      </c>
      <c r="G2" s="87" t="s">
        <v>10</v>
      </c>
      <c r="H2" s="88"/>
      <c r="I2" s="88"/>
      <c r="J2" s="88"/>
      <c r="K2" s="88"/>
      <c r="L2" s="88"/>
    </row>
    <row r="3" spans="1:12">
      <c r="A3" s="81" t="s">
        <v>11</v>
      </c>
      <c r="B3" s="91" t="s">
        <v>8</v>
      </c>
      <c r="C3" s="118">
        <v>10</v>
      </c>
      <c r="D3" s="106" t="s">
        <v>9</v>
      </c>
      <c r="E3" s="78"/>
      <c r="F3" s="140">
        <f>IF(D3&lt;&gt;"L","-",IF(COUNTA(P!E$2:E$1000)+COUNTA(D!E$2:E$1000)+COUNTA('C'!E$2:E$1000)+COUNTA(A!E$2:E$1000)=0,C3,ROUND(C3*MAX(0.1,IFERROR(Dashboard!B$3/Dashboard!B$10,1))*(1+Dashboard!F$5*IF(B3="Occ",0.5,IF(B3="Pun",0.35,IF(B3="Tit",0.25,IF(B3="Scm",0.15,0.05)))))*IF(OR(B3="Occ",B3="Pun"),Dashboard!V$5,IF(B3="Tit",Dashboard!W$5,Dashboard!X$5)),0)))</f>
        <v>10</v>
      </c>
      <c r="G3" s="89"/>
      <c r="H3" s="88"/>
      <c r="I3" s="88"/>
      <c r="J3" s="88"/>
      <c r="K3" s="88"/>
      <c r="L3" s="88"/>
    </row>
    <row r="4" spans="1:12">
      <c r="A4" s="81" t="s">
        <v>12</v>
      </c>
      <c r="B4" s="92" t="s">
        <v>13</v>
      </c>
      <c r="C4" s="118">
        <v>18</v>
      </c>
      <c r="D4" s="106" t="s">
        <v>9</v>
      </c>
      <c r="E4" s="78"/>
      <c r="F4" s="140">
        <f>IF(D4&lt;&gt;"L","-",IF(COUNTA(P!E$2:E$1000)+COUNTA(D!E$2:E$1000)+COUNTA('C'!E$2:E$1000)+COUNTA(A!E$2:E$1000)=0,C4,ROUND(C4*MAX(0.1,IFERROR(Dashboard!B$3/Dashboard!B$10,1))*(1+Dashboard!F$5*IF(B4="Occ",0.5,IF(B4="Pun",0.35,IF(B4="Tit",0.25,IF(B4="Scm",0.15,0.05)))))*IF(OR(B4="Occ",B4="Pun"),Dashboard!V$5,IF(B4="Tit",Dashboard!W$5,Dashboard!X$5)),0)))</f>
        <v>18</v>
      </c>
      <c r="G4" s="85" t="s">
        <v>10</v>
      </c>
      <c r="H4" s="88"/>
      <c r="I4" s="88"/>
      <c r="J4" s="88"/>
      <c r="K4" s="88"/>
      <c r="L4" s="88"/>
    </row>
    <row r="5" spans="1:12">
      <c r="A5" s="81" t="s">
        <v>14</v>
      </c>
      <c r="B5" s="94" t="s">
        <v>15</v>
      </c>
      <c r="C5" s="89">
        <v>1</v>
      </c>
      <c r="D5" s="106" t="s">
        <v>9</v>
      </c>
      <c r="E5" s="78"/>
      <c r="F5" s="140">
        <f>IF(D5&lt;&gt;"L","-",IF(COUNTA(P!E$2:E$1000)+COUNTA(D!E$2:E$1000)+COUNTA('C'!E$2:E$1000)+COUNTA(A!E$2:E$1000)=0,C5,ROUND(C5*MAX(0.1,IFERROR(Dashboard!B$3/Dashboard!B$10,1))*(1+Dashboard!F$5*IF(B5="Occ",0.5,IF(B5="Pun",0.35,IF(B5="Tit",0.25,IF(B5="Scm",0.15,0.05)))))*IF(OR(B5="Occ",B5="Pun"),Dashboard!V$5,IF(B5="Tit",Dashboard!W$5,Dashboard!X$5)),0)))</f>
        <v>1</v>
      </c>
      <c r="G5" s="84"/>
    </row>
    <row r="6" spans="1:12">
      <c r="A6" s="81" t="s">
        <v>16</v>
      </c>
      <c r="B6" s="92" t="s">
        <v>13</v>
      </c>
      <c r="C6" s="89">
        <v>12</v>
      </c>
      <c r="D6" s="106" t="s">
        <v>9</v>
      </c>
      <c r="E6" s="78"/>
      <c r="F6" s="140">
        <f>IF(D6&lt;&gt;"L","-",IF(COUNTA(P!E$2:E$1000)+COUNTA(D!E$2:E$1000)+COUNTA('C'!E$2:E$1000)+COUNTA(A!E$2:E$1000)=0,C6,ROUND(C6*MAX(0.1,IFERROR(Dashboard!B$3/Dashboard!B$10,1))*(1+Dashboard!F$5*IF(B6="Occ",0.5,IF(B6="Pun",0.35,IF(B6="Tit",0.25,IF(B6="Scm",0.15,0.05)))))*IF(OR(B6="Occ",B6="Pun"),Dashboard!V$5,IF(B6="Tit",Dashboard!W$5,Dashboard!X$5)),0)))</f>
        <v>12</v>
      </c>
      <c r="G6" s="84"/>
    </row>
    <row r="7" spans="1:12">
      <c r="A7" s="82" t="s">
        <v>17</v>
      </c>
      <c r="B7" s="91" t="s">
        <v>8</v>
      </c>
      <c r="C7" s="118">
        <v>12</v>
      </c>
      <c r="D7" s="106" t="s">
        <v>9</v>
      </c>
      <c r="E7" s="78"/>
      <c r="F7" s="140">
        <f>IF(D7&lt;&gt;"L","-",IF(COUNTA(P!E$2:E$1000)+COUNTA(D!E$2:E$1000)+COUNTA('C'!E$2:E$1000)+COUNTA(A!E$2:E$1000)=0,C7,ROUND(C7*MAX(0.1,IFERROR(Dashboard!B$3/Dashboard!B$10,1))*(1+Dashboard!F$5*IF(B7="Occ",0.5,IF(B7="Pun",0.35,IF(B7="Tit",0.25,IF(B7="Scm",0.15,0.05)))))*IF(OR(B7="Occ",B7="Pun"),Dashboard!V$5,IF(B7="Tit",Dashboard!W$5,Dashboard!X$5)),0)))</f>
        <v>12</v>
      </c>
      <c r="G7" s="89"/>
    </row>
    <row r="8" spans="1:12">
      <c r="A8" s="81" t="s">
        <v>18</v>
      </c>
      <c r="B8" s="92" t="s">
        <v>13</v>
      </c>
      <c r="C8" s="118">
        <v>30</v>
      </c>
      <c r="D8" s="106" t="s">
        <v>9</v>
      </c>
      <c r="E8" s="78"/>
      <c r="F8" s="140">
        <f>IF(D8&lt;&gt;"L","-",IF(COUNTA(P!E$2:E$1000)+COUNTA(D!E$2:E$1000)+COUNTA('C'!E$2:E$1000)+COUNTA(A!E$2:E$1000)=0,C8,ROUND(C8*MAX(0.1,IFERROR(Dashboard!B$3/Dashboard!B$10,1))*(1+Dashboard!F$5*IF(B8="Occ",0.5,IF(B8="Pun",0.35,IF(B8="Tit",0.25,IF(B8="Scm",0.15,0.05)))))*IF(OR(B8="Occ",B8="Pun"),Dashboard!V$5,IF(B8="Tit",Dashboard!W$5,Dashboard!X$5)),0)))</f>
        <v>30</v>
      </c>
      <c r="G8" s="84" t="s">
        <v>19</v>
      </c>
    </row>
    <row r="9" spans="1:12">
      <c r="A9" s="81" t="s">
        <v>20</v>
      </c>
      <c r="B9" s="92" t="s">
        <v>13</v>
      </c>
      <c r="C9" s="118">
        <v>25</v>
      </c>
      <c r="D9" s="106" t="s">
        <v>9</v>
      </c>
      <c r="E9" s="78"/>
      <c r="F9" s="140">
        <f>IF(D9&lt;&gt;"L","-",IF(COUNTA(P!E$2:E$1000)+COUNTA(D!E$2:E$1000)+COUNTA('C'!E$2:E$1000)+COUNTA(A!E$2:E$1000)=0,C9,ROUND(C9*MAX(0.1,IFERROR(Dashboard!B$3/Dashboard!B$10,1))*(1+Dashboard!F$5*IF(B9="Occ",0.5,IF(B9="Pun",0.35,IF(B9="Tit",0.25,IF(B9="Scm",0.15,0.05)))))*IF(OR(B9="Occ",B9="Pun"),Dashboard!V$5,IF(B9="Tit",Dashboard!W$5,Dashboard!X$5)),0)))</f>
        <v>25</v>
      </c>
      <c r="G9" s="84" t="s">
        <v>19</v>
      </c>
    </row>
    <row r="10" spans="1:12">
      <c r="A10" s="81" t="s">
        <v>21</v>
      </c>
      <c r="B10" s="91" t="s">
        <v>8</v>
      </c>
      <c r="C10" s="118">
        <v>14</v>
      </c>
      <c r="D10" s="106" t="s">
        <v>9</v>
      </c>
      <c r="E10" s="78"/>
      <c r="F10" s="140">
        <f>IF(D10&lt;&gt;"L","-",IF(COUNTA(P!E$2:E$1000)+COUNTA(D!E$2:E$1000)+COUNTA('C'!E$2:E$1000)+COUNTA(A!E$2:E$1000)=0,C10,ROUND(C10*MAX(0.1,IFERROR(Dashboard!B$3/Dashboard!B$10,1))*(1+Dashboard!F$5*IF(B10="Occ",0.5,IF(B10="Pun",0.35,IF(B10="Tit",0.25,IF(B10="Scm",0.15,0.05)))))*IF(OR(B10="Occ",B10="Pun"),Dashboard!V$5,IF(B10="Tit",Dashboard!W$5,Dashboard!X$5)),0)))</f>
        <v>14</v>
      </c>
      <c r="G10" s="84"/>
    </row>
    <row r="11" spans="1:12">
      <c r="A11" s="81" t="s">
        <v>22</v>
      </c>
      <c r="B11" s="93" t="s">
        <v>23</v>
      </c>
      <c r="C11" s="89">
        <v>8</v>
      </c>
      <c r="D11" s="106" t="s">
        <v>9</v>
      </c>
      <c r="E11" s="78"/>
      <c r="F11" s="140">
        <f>IF(D11&lt;&gt;"L","-",IF(COUNTA(P!E$2:E$1000)+COUNTA(D!E$2:E$1000)+COUNTA('C'!E$2:E$1000)+COUNTA(A!E$2:E$1000)=0,C11,ROUND(C11*MAX(0.1,IFERROR(Dashboard!B$3/Dashboard!B$10,1))*(1+Dashboard!F$5*IF(B11="Occ",0.5,IF(B11="Pun",0.35,IF(B11="Tit",0.25,IF(B11="Scm",0.15,0.05)))))*IF(OR(B11="Occ",B11="Pun"),Dashboard!V$5,IF(B11="Tit",Dashboard!W$5,Dashboard!X$5)),0)))</f>
        <v>8</v>
      </c>
      <c r="G11" s="84"/>
    </row>
    <row r="12" spans="1:12">
      <c r="A12" s="81" t="s">
        <v>24</v>
      </c>
      <c r="B12" s="92" t="s">
        <v>13</v>
      </c>
      <c r="C12" s="118">
        <v>30</v>
      </c>
      <c r="D12" s="106" t="s">
        <v>9</v>
      </c>
      <c r="E12" s="78"/>
      <c r="F12" s="140">
        <f>IF(D12&lt;&gt;"L","-",IF(COUNTA(P!E$2:E$1000)+COUNTA(D!E$2:E$1000)+COUNTA('C'!E$2:E$1000)+COUNTA(A!E$2:E$1000)=0,C12,ROUND(C12*MAX(0.1,IFERROR(Dashboard!B$3/Dashboard!B$10,1))*(1+Dashboard!F$5*IF(B12="Occ",0.5,IF(B12="Pun",0.35,IF(B12="Tit",0.25,IF(B12="Scm",0.15,0.05)))))*IF(OR(B12="Occ",B12="Pun"),Dashboard!V$5,IF(B12="Tit",Dashboard!W$5,Dashboard!X$5)),0)))</f>
        <v>30</v>
      </c>
      <c r="G12" s="84" t="s">
        <v>19</v>
      </c>
    </row>
    <row r="13" spans="1:12">
      <c r="A13" s="81" t="s">
        <v>25</v>
      </c>
      <c r="B13" s="93" t="s">
        <v>23</v>
      </c>
      <c r="C13" s="89">
        <v>8</v>
      </c>
      <c r="D13" s="106" t="s">
        <v>9</v>
      </c>
      <c r="E13" s="78"/>
      <c r="F13" s="140">
        <f>IF(D13&lt;&gt;"L","-",IF(COUNTA(P!E$2:E$1000)+COUNTA(D!E$2:E$1000)+COUNTA('C'!E$2:E$1000)+COUNTA(A!E$2:E$1000)=0,C13,ROUND(C13*MAX(0.1,IFERROR(Dashboard!B$3/Dashboard!B$10,1))*(1+Dashboard!F$5*IF(B13="Occ",0.5,IF(B13="Pun",0.35,IF(B13="Tit",0.25,IF(B13="Scm",0.15,0.05)))))*IF(OR(B13="Occ",B13="Pun"),Dashboard!V$5,IF(B13="Tit",Dashboard!W$5,Dashboard!X$5)),0)))</f>
        <v>8</v>
      </c>
      <c r="G13" s="84"/>
    </row>
    <row r="14" spans="1:12">
      <c r="A14" s="82" t="s">
        <v>26</v>
      </c>
      <c r="B14" s="91" t="s">
        <v>8</v>
      </c>
      <c r="C14" s="118">
        <v>14</v>
      </c>
      <c r="D14" s="106" t="s">
        <v>9</v>
      </c>
      <c r="E14" s="78"/>
      <c r="F14" s="140">
        <f>IF(D14&lt;&gt;"L","-",IF(COUNTA(P!E$2:E$1000)+COUNTA(D!E$2:E$1000)+COUNTA('C'!E$2:E$1000)+COUNTA(A!E$2:E$1000)=0,C14,ROUND(C14*MAX(0.1,IFERROR(Dashboard!B$3/Dashboard!B$10,1))*(1+Dashboard!F$5*IF(B14="Occ",0.5,IF(B14="Pun",0.35,IF(B14="Tit",0.25,IF(B14="Scm",0.15,0.05)))))*IF(OR(B14="Occ",B14="Pun"),Dashboard!V$5,IF(B14="Tit",Dashboard!W$5,Dashboard!X$5)),0)))</f>
        <v>14</v>
      </c>
      <c r="G14" s="84"/>
    </row>
    <row r="15" spans="1:12">
      <c r="A15" s="81" t="s">
        <v>27</v>
      </c>
      <c r="B15" s="94" t="s">
        <v>15</v>
      </c>
      <c r="C15" s="89">
        <v>1</v>
      </c>
      <c r="D15" s="106" t="s">
        <v>9</v>
      </c>
      <c r="E15" s="78"/>
      <c r="F15" s="140">
        <f>IF(D15&lt;&gt;"L","-",IF(COUNTA(P!E$2:E$1000)+COUNTA(D!E$2:E$1000)+COUNTA('C'!E$2:E$1000)+COUNTA(A!E$2:E$1000)=0,C15,ROUND(C15*MAX(0.1,IFERROR(Dashboard!B$3/Dashboard!B$10,1))*(1+Dashboard!F$5*IF(B15="Occ",0.5,IF(B15="Pun",0.35,IF(B15="Tit",0.25,IF(B15="Scm",0.15,0.05)))))*IF(OR(B15="Occ",B15="Pun"),Dashboard!V$5,IF(B15="Tit",Dashboard!W$5,Dashboard!X$5)),0)))</f>
        <v>1</v>
      </c>
      <c r="G15" s="84"/>
    </row>
    <row r="16" spans="1:12">
      <c r="A16" s="81" t="s">
        <v>28</v>
      </c>
      <c r="B16" s="91" t="s">
        <v>8</v>
      </c>
      <c r="C16" s="118">
        <v>12</v>
      </c>
      <c r="D16" s="106" t="s">
        <v>9</v>
      </c>
      <c r="E16" s="78"/>
      <c r="F16" s="140">
        <f>IF(D16&lt;&gt;"L","-",IF(COUNTA(P!E$2:E$1000)+COUNTA(D!E$2:E$1000)+COUNTA('C'!E$2:E$1000)+COUNTA(A!E$2:E$1000)=0,C16,ROUND(C16*MAX(0.1,IFERROR(Dashboard!B$3/Dashboard!B$10,1))*(1+Dashboard!F$5*IF(B16="Occ",0.5,IF(B16="Pun",0.35,IF(B16="Tit",0.25,IF(B16="Scm",0.15,0.05)))))*IF(OR(B16="Occ",B16="Pun"),Dashboard!V$5,IF(B16="Tit",Dashboard!W$5,Dashboard!X$5)),0)))</f>
        <v>12</v>
      </c>
      <c r="G16" s="84"/>
    </row>
    <row r="17" spans="1:7">
      <c r="A17" s="81" t="s">
        <v>29</v>
      </c>
      <c r="B17" s="94" t="s">
        <v>15</v>
      </c>
      <c r="C17" s="89">
        <v>1</v>
      </c>
      <c r="D17" s="106" t="s">
        <v>9</v>
      </c>
      <c r="E17" s="78"/>
      <c r="F17" s="140">
        <f>IF(D17&lt;&gt;"L","-",IF(COUNTA(P!E$2:E$1000)+COUNTA(D!E$2:E$1000)+COUNTA('C'!E$2:E$1000)+COUNTA(A!E$2:E$1000)=0,C17,ROUND(C17*MAX(0.1,IFERROR(Dashboard!B$3/Dashboard!B$10,1))*(1+Dashboard!F$5*IF(B17="Occ",0.5,IF(B17="Pun",0.35,IF(B17="Tit",0.25,IF(B17="Scm",0.15,0.05)))))*IF(OR(B17="Occ",B17="Pun"),Dashboard!V$5,IF(B17="Tit",Dashboard!W$5,Dashboard!X$5)),0)))</f>
        <v>1</v>
      </c>
      <c r="G17" s="84"/>
    </row>
    <row r="18" spans="1:7">
      <c r="A18" s="81" t="s">
        <v>30</v>
      </c>
      <c r="B18" s="92" t="s">
        <v>13</v>
      </c>
      <c r="C18" s="118">
        <v>30</v>
      </c>
      <c r="D18" s="106" t="s">
        <v>9</v>
      </c>
      <c r="E18" s="78"/>
      <c r="F18" s="140">
        <f>IF(D18&lt;&gt;"L","-",IF(COUNTA(P!E$2:E$1000)+COUNTA(D!E$2:E$1000)+COUNTA('C'!E$2:E$1000)+COUNTA(A!E$2:E$1000)=0,C18,ROUND(C18*MAX(0.1,IFERROR(Dashboard!B$3/Dashboard!B$10,1))*(1+Dashboard!F$5*IF(B18="Occ",0.5,IF(B18="Pun",0.35,IF(B18="Tit",0.25,IF(B18="Scm",0.15,0.05)))))*IF(OR(B18="Occ",B18="Pun"),Dashboard!V$5,IF(B18="Tit",Dashboard!W$5,Dashboard!X$5)),0)))</f>
        <v>30</v>
      </c>
      <c r="G18" s="84" t="s">
        <v>19</v>
      </c>
    </row>
    <row r="19" spans="1:7">
      <c r="A19" s="81" t="s">
        <v>31</v>
      </c>
      <c r="B19" s="94" t="s">
        <v>15</v>
      </c>
      <c r="C19" s="89">
        <v>1</v>
      </c>
      <c r="D19" s="106" t="s">
        <v>9</v>
      </c>
      <c r="E19" s="78"/>
      <c r="F19" s="140">
        <f>IF(D19&lt;&gt;"L","-",IF(COUNTA(P!E$2:E$1000)+COUNTA(D!E$2:E$1000)+COUNTA('C'!E$2:E$1000)+COUNTA(A!E$2:E$1000)=0,C19,ROUND(C19*MAX(0.1,IFERROR(Dashboard!B$3/Dashboard!B$10,1))*(1+Dashboard!F$5*IF(B19="Occ",0.5,IF(B19="Pun",0.35,IF(B19="Tit",0.25,IF(B19="Scm",0.15,0.05)))))*IF(OR(B19="Occ",B19="Pun"),Dashboard!V$5,IF(B19="Tit",Dashboard!W$5,Dashboard!X$5)),0)))</f>
        <v>1</v>
      </c>
      <c r="G19" s="84"/>
    </row>
    <row r="20" spans="1:7">
      <c r="A20" s="81" t="s">
        <v>32</v>
      </c>
      <c r="B20" s="94" t="s">
        <v>15</v>
      </c>
      <c r="C20" s="89">
        <v>1</v>
      </c>
      <c r="D20" s="106" t="s">
        <v>9</v>
      </c>
      <c r="E20" s="78"/>
      <c r="F20" s="140">
        <f>IF(D20&lt;&gt;"L","-",IF(COUNTA(P!E$2:E$1000)+COUNTA(D!E$2:E$1000)+COUNTA('C'!E$2:E$1000)+COUNTA(A!E$2:E$1000)=0,C20,ROUND(C20*MAX(0.1,IFERROR(Dashboard!B$3/Dashboard!B$10,1))*(1+Dashboard!F$5*IF(B20="Occ",0.5,IF(B20="Pun",0.35,IF(B20="Tit",0.25,IF(B20="Scm",0.15,0.05)))))*IF(OR(B20="Occ",B20="Pun"),Dashboard!V$5,IF(B20="Tit",Dashboard!W$5,Dashboard!X$5)),0)))</f>
        <v>1</v>
      </c>
      <c r="G20" s="84" t="s">
        <v>33</v>
      </c>
    </row>
    <row r="21" spans="1:7">
      <c r="A21" s="83" t="s">
        <v>34</v>
      </c>
      <c r="B21" s="96" t="s">
        <v>13</v>
      </c>
      <c r="C21" s="119">
        <v>25</v>
      </c>
      <c r="D21" s="164" t="s">
        <v>9</v>
      </c>
      <c r="E21" s="79"/>
      <c r="F21" s="173">
        <f>IF(D21&lt;&gt;"L","-",IF(COUNTA(P!E$2:E$1000)+COUNTA(D!E$2:E$1000)+COUNTA('C'!E$2:E$1000)+COUNTA(A!E$2:E$1000)=0,C21,ROUND(C21*MAX(0.1,IFERROR(Dashboard!B$3/Dashboard!B$10,1))*(1+Dashboard!F$5*IF(B21="Occ",0.5,IF(B21="Pun",0.35,IF(B21="Tit",0.25,IF(B21="Scm",0.15,0.05)))))*IF(OR(B21="Occ",B21="Pun"),Dashboard!V$5,IF(B21="Tit",Dashboard!W$5,Dashboard!X$5)),0)))</f>
        <v>25</v>
      </c>
      <c r="G21" s="86" t="s">
        <v>19</v>
      </c>
    </row>
    <row r="22" spans="1:7">
      <c r="F22" s="141"/>
    </row>
    <row r="23" spans="1:7">
      <c r="F23" s="141"/>
    </row>
    <row r="24" spans="1:7">
      <c r="F24" s="141"/>
    </row>
    <row r="25" spans="1:7">
      <c r="F25" s="141"/>
    </row>
    <row r="26" spans="1:7">
      <c r="F26" s="141"/>
    </row>
    <row r="27" spans="1:7">
      <c r="F27" s="141"/>
    </row>
    <row r="28" spans="1:7">
      <c r="F28" s="141"/>
    </row>
    <row r="29" spans="1:7">
      <c r="F29" s="141"/>
    </row>
    <row r="30" spans="1:7">
      <c r="F30" s="141"/>
    </row>
    <row r="31" spans="1:7">
      <c r="F31" s="141"/>
    </row>
    <row r="32" spans="1:7">
      <c r="F32" s="141"/>
    </row>
    <row r="33" spans="6:6">
      <c r="F33" s="141"/>
    </row>
    <row r="34" spans="6:6">
      <c r="F34" s="141"/>
    </row>
    <row r="35" spans="6:6">
      <c r="F35" s="141"/>
    </row>
    <row r="36" spans="6:6">
      <c r="F36" s="141"/>
    </row>
    <row r="37" spans="6:6">
      <c r="F37" s="141"/>
    </row>
    <row r="38" spans="6:6">
      <c r="F38" s="141"/>
    </row>
    <row r="39" spans="6:6">
      <c r="F39" s="141"/>
    </row>
    <row r="40" spans="6:6">
      <c r="F40" s="141"/>
    </row>
    <row r="41" spans="6:6">
      <c r="F41" s="141"/>
    </row>
    <row r="42" spans="6:6">
      <c r="F42" s="141"/>
    </row>
    <row r="43" spans="6:6">
      <c r="F43" s="141"/>
    </row>
    <row r="44" spans="6:6">
      <c r="F44" s="141"/>
    </row>
    <row r="45" spans="6:6">
      <c r="F45" s="141"/>
    </row>
    <row r="46" spans="6:6">
      <c r="F46" s="141"/>
    </row>
    <row r="47" spans="6:6">
      <c r="F47" s="141"/>
    </row>
    <row r="48" spans="6:6">
      <c r="F48" s="141"/>
    </row>
    <row r="49" spans="6:6">
      <c r="F49" s="141"/>
    </row>
    <row r="50" spans="6:6">
      <c r="F50" s="141"/>
    </row>
    <row r="51" spans="6:6">
      <c r="F51" s="141"/>
    </row>
    <row r="52" spans="6:6">
      <c r="F52" s="141"/>
    </row>
    <row r="53" spans="6:6">
      <c r="F53" s="141"/>
    </row>
    <row r="54" spans="6:6">
      <c r="F54" s="141"/>
    </row>
    <row r="55" spans="6:6">
      <c r="F55" s="141"/>
    </row>
    <row r="56" spans="6:6">
      <c r="F56" s="141"/>
    </row>
    <row r="57" spans="6:6">
      <c r="F57" s="141"/>
    </row>
    <row r="58" spans="6:6">
      <c r="F58" s="141"/>
    </row>
    <row r="59" spans="6:6">
      <c r="F59" s="141"/>
    </row>
    <row r="60" spans="6:6">
      <c r="F60" s="141"/>
    </row>
    <row r="61" spans="6:6">
      <c r="F61" s="141"/>
    </row>
    <row r="62" spans="6:6">
      <c r="F62" s="141"/>
    </row>
    <row r="63" spans="6:6">
      <c r="F63" s="141"/>
    </row>
    <row r="64" spans="6:6">
      <c r="F64" s="141"/>
    </row>
    <row r="65" spans="6:6">
      <c r="F65" s="141"/>
    </row>
    <row r="66" spans="6:6">
      <c r="F66" s="141"/>
    </row>
    <row r="67" spans="6:6">
      <c r="F67" s="141"/>
    </row>
    <row r="68" spans="6:6">
      <c r="F68" s="141"/>
    </row>
    <row r="69" spans="6:6">
      <c r="F69" s="141"/>
    </row>
    <row r="70" spans="6:6">
      <c r="F70" s="141"/>
    </row>
    <row r="71" spans="6:6">
      <c r="F71" s="141"/>
    </row>
    <row r="72" spans="6:6">
      <c r="F72" s="141"/>
    </row>
    <row r="73" spans="6:6">
      <c r="F73" s="141"/>
    </row>
    <row r="74" spans="6:6">
      <c r="F74" s="141"/>
    </row>
    <row r="75" spans="6:6">
      <c r="F75" s="141"/>
    </row>
    <row r="76" spans="6:6">
      <c r="F76" s="141"/>
    </row>
    <row r="77" spans="6:6">
      <c r="F77" s="141"/>
    </row>
    <row r="78" spans="6:6">
      <c r="F78" s="141"/>
    </row>
    <row r="79" spans="6:6">
      <c r="F79" s="141"/>
    </row>
    <row r="80" spans="6:6">
      <c r="F80" s="141"/>
    </row>
    <row r="81" spans="6:6">
      <c r="F81" s="141"/>
    </row>
    <row r="82" spans="6:6">
      <c r="F82" s="141"/>
    </row>
    <row r="83" spans="6:6">
      <c r="F83" s="141"/>
    </row>
    <row r="84" spans="6:6">
      <c r="F84" s="141"/>
    </row>
    <row r="85" spans="6:6">
      <c r="F85" s="141"/>
    </row>
    <row r="86" spans="6:6">
      <c r="F86" s="141"/>
    </row>
    <row r="87" spans="6:6">
      <c r="F87" s="141"/>
    </row>
    <row r="88" spans="6:6">
      <c r="F88" s="141"/>
    </row>
    <row r="89" spans="6:6">
      <c r="F89" s="141"/>
    </row>
    <row r="90" spans="6:6">
      <c r="F90" s="141"/>
    </row>
    <row r="91" spans="6:6">
      <c r="F91" s="141"/>
    </row>
    <row r="92" spans="6:6">
      <c r="F92" s="141"/>
    </row>
    <row r="93" spans="6:6">
      <c r="F93" s="141"/>
    </row>
    <row r="94" spans="6:6">
      <c r="F94" s="141"/>
    </row>
    <row r="95" spans="6:6">
      <c r="F95" s="141"/>
    </row>
  </sheetData>
  <sheetProtection sheet="1" objects="1" scenarios="1"/>
  <autoFilter ref="A1:G1" xr:uid="{A898B9E3-74CD-4EC8-8DED-9BC98114F195}"/>
  <sortState xmlns:xlrd2="http://schemas.microsoft.com/office/spreadsheetml/2017/richdata2" ref="A3:G21">
    <sortCondition ref="A3:A21"/>
  </sortState>
  <conditionalFormatting sqref="C2:C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F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allowBlank="1" showInputMessage="1" showErrorMessage="1" sqref="C2:C21" xr:uid="{98694CDE-C174-45AD-9484-A6C4DE08C7FB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111357A-AA8A-42BB-ABB2-5D6AA809DCB1}">
          <x14:formula1>
            <xm:f>Tutti!$O$4:$O$7</xm:f>
          </x14:formula1>
          <xm:sqref>B2:B21 D64:F65</xm:sqref>
        </x14:dataValidation>
        <x14:dataValidation type="list" allowBlank="1" showInputMessage="1" showErrorMessage="1" xr:uid="{C43EFA6D-5AF8-44EF-B3BA-5422470F6E6B}">
          <x14:formula1>
            <xm:f>Utils!$A$2:$A$4</xm:f>
          </x14:formula1>
          <xm:sqref>D2:D21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13381-4F80-4C1C-822C-C6F00E837B2A}">
  <dimension ref="A1:W125"/>
  <sheetViews>
    <sheetView workbookViewId="0">
      <selection activeCell="E6" sqref="E6"/>
    </sheetView>
  </sheetViews>
  <sheetFormatPr defaultRowHeight="15"/>
  <cols>
    <col min="1" max="1" width="15.5703125" style="22" bestFit="1" customWidth="1"/>
    <col min="2" max="2" width="4.5703125" style="22" bestFit="1" customWidth="1"/>
    <col min="3" max="3" width="5.28515625" style="123" bestFit="1" customWidth="1"/>
    <col min="4" max="4" width="7.42578125" style="22" bestFit="1" customWidth="1"/>
    <col min="5" max="5" width="13.7109375" style="22" bestFit="1" customWidth="1"/>
    <col min="6" max="6" width="7.7109375" style="123" bestFit="1" customWidth="1"/>
    <col min="7" max="7" width="14.85546875" style="22" bestFit="1" customWidth="1"/>
    <col min="8" max="8" width="12.5703125" style="123" bestFit="1" customWidth="1"/>
    <col min="9" max="9" width="4.5703125" style="123" bestFit="1" customWidth="1"/>
    <col min="10" max="10" width="5.28515625" style="123" bestFit="1" customWidth="1"/>
    <col min="11" max="11" width="14.140625" style="123" bestFit="1" customWidth="1"/>
    <col min="12" max="12" width="15.5703125" style="123" bestFit="1" customWidth="1"/>
    <col min="13" max="13" width="4.5703125" style="123" bestFit="1" customWidth="1"/>
    <col min="14" max="14" width="5.28515625" style="123" bestFit="1" customWidth="1"/>
    <col min="15" max="15" width="14" style="123" bestFit="1" customWidth="1"/>
    <col min="16" max="16" width="14.7109375" style="123" bestFit="1" customWidth="1"/>
    <col min="17" max="17" width="4.5703125" style="123" bestFit="1" customWidth="1"/>
    <col min="18" max="18" width="5.28515625" style="123" bestFit="1" customWidth="1"/>
    <col min="19" max="19" width="13.42578125" style="123" bestFit="1" customWidth="1"/>
    <col min="20" max="16384" width="9.140625" style="22"/>
  </cols>
  <sheetData>
    <row r="1" spans="1:20">
      <c r="A1" s="73" t="s">
        <v>0</v>
      </c>
      <c r="B1" s="100" t="s">
        <v>1</v>
      </c>
      <c r="C1" s="127" t="s">
        <v>2</v>
      </c>
      <c r="D1" s="100" t="s">
        <v>3</v>
      </c>
      <c r="E1" s="74" t="s">
        <v>4</v>
      </c>
      <c r="F1" s="120" t="s">
        <v>5</v>
      </c>
      <c r="G1" s="159" t="s">
        <v>6</v>
      </c>
    </row>
    <row r="2" spans="1:20">
      <c r="A2" s="154" t="s">
        <v>35</v>
      </c>
      <c r="B2" s="105" t="s">
        <v>15</v>
      </c>
      <c r="C2" s="128">
        <v>1</v>
      </c>
      <c r="D2" s="101" t="s">
        <v>9</v>
      </c>
      <c r="E2" s="104"/>
      <c r="F2" s="121">
        <f>IF(D2&lt;&gt;"L","-",IF(COUNTA(P!E$2:E$1000)+COUNTA(D!E$2:E$1000)+COUNTA('C'!E$2:E$1000)+COUNTA(A!E$2:E$1000)=0,C2,ROUND(C2*MAX(0.1,IFERROR(Dashboard!B$3/Dashboard!B$10,1))*(1+Dashboard!F$6*IF(B2="Occ",0.5,IF(B2="Pun",0.35,IF(B2="Tit",0.25,IF(B2="Scm",0.15,0.05)))))*IF(OR(B2="Occ",B2="Pun"),Dashboard!V$6,IF(B2="Tit",Dashboard!W$6,Dashboard!X$6)),0)))</f>
        <v>1</v>
      </c>
      <c r="G2" s="160"/>
      <c r="T2" s="88"/>
    </row>
    <row r="3" spans="1:20">
      <c r="A3" s="155" t="s">
        <v>36</v>
      </c>
      <c r="B3" s="94" t="s">
        <v>15</v>
      </c>
      <c r="C3" s="130">
        <v>1</v>
      </c>
      <c r="D3" s="78" t="s">
        <v>9</v>
      </c>
      <c r="E3" s="103"/>
      <c r="F3" s="122">
        <f>IF(D3&lt;&gt;"L","-",IF(COUNTA(P!E$2:E$1000)+COUNTA(D!E$2:E$1000)+COUNTA('C'!E$2:E$1000)+COUNTA(A!E$2:E$1000)=0,C3,ROUND(C3*MAX(0.1,IFERROR(Dashboard!B$3/Dashboard!B$10,1))*(1+Dashboard!F$6*IF(B3="Occ",0.5,IF(B3="Pun",0.35,IF(B3="Tit",0.25,IF(B3="Scm",0.15,0.05)))))*IF(OR(B3="Occ",B3="Pun"),Dashboard!V$6,IF(B3="Tit",Dashboard!W$6,Dashboard!X$6)),0)))</f>
        <v>1</v>
      </c>
      <c r="G3" s="84"/>
      <c r="T3" s="88"/>
    </row>
    <row r="4" spans="1:20">
      <c r="A4" s="155" t="s">
        <v>37</v>
      </c>
      <c r="B4" s="91" t="s">
        <v>8</v>
      </c>
      <c r="C4" s="129">
        <v>9</v>
      </c>
      <c r="D4" s="78" t="s">
        <v>9</v>
      </c>
      <c r="E4" s="103"/>
      <c r="F4" s="122">
        <f>IF(D4&lt;&gt;"L","-",IF(COUNTA(P!E$2:E$1000)+COUNTA(D!E$2:E$1000)+COUNTA('C'!E$2:E$1000)+COUNTA(A!E$2:E$1000)=0,C4,ROUND(C4*MAX(0.1,IFERROR(Dashboard!B$3/Dashboard!B$10,1))*(1+Dashboard!F$6*IF(B4="Occ",0.5,IF(B4="Pun",0.35,IF(B4="Tit",0.25,IF(B4="Scm",0.15,0.05)))))*IF(OR(B4="Occ",B4="Pun"),Dashboard!V$6,IF(B4="Tit",Dashboard!W$6,Dashboard!X$6)),0)))</f>
        <v>9</v>
      </c>
      <c r="G4" s="89" t="s">
        <v>38</v>
      </c>
      <c r="I4" s="124"/>
      <c r="J4" s="124"/>
      <c r="N4" s="124"/>
      <c r="R4" s="124"/>
      <c r="T4" s="88"/>
    </row>
    <row r="5" spans="1:20">
      <c r="A5" s="155" t="s">
        <v>39</v>
      </c>
      <c r="B5" s="92" t="s">
        <v>13</v>
      </c>
      <c r="C5" s="129">
        <v>8</v>
      </c>
      <c r="D5" s="78" t="s">
        <v>9</v>
      </c>
      <c r="E5" s="103"/>
      <c r="F5" s="122">
        <f>IF(D5&lt;&gt;"L","-",IF(COUNTA(P!E$2:E$1000)+COUNTA(D!E$2:E$1000)+COUNTA('C'!E$2:E$1000)+COUNTA(A!E$2:E$1000)=0,C5,ROUND(C5*MAX(0.1,IFERROR(Dashboard!B$3/Dashboard!B$10,1))*(1+Dashboard!F$6*IF(B5="Occ",0.5,IF(B5="Pun",0.35,IF(B5="Tit",0.25,IF(B5="Scm",0.15,0.05)))))*IF(OR(B5="Occ",B5="Pun"),Dashboard!V$6,IF(B5="Tit",Dashboard!W$6,Dashboard!X$6)),0)))</f>
        <v>8</v>
      </c>
      <c r="G5" s="89"/>
      <c r="J5" s="124"/>
      <c r="N5" s="124"/>
      <c r="Q5" s="124"/>
      <c r="R5" s="124"/>
      <c r="T5" s="88"/>
    </row>
    <row r="6" spans="1:20">
      <c r="A6" s="155" t="s">
        <v>40</v>
      </c>
      <c r="B6" s="99" t="s">
        <v>41</v>
      </c>
      <c r="C6" s="130">
        <v>1</v>
      </c>
      <c r="D6" s="78" t="s">
        <v>9</v>
      </c>
      <c r="E6" s="103"/>
      <c r="F6" s="122">
        <f>IF(D6&lt;&gt;"L","-",IF(COUNTA(P!E$2:E$1000)+COUNTA(D!E$2:E$1000)+COUNTA('C'!E$2:E$1000)+COUNTA(A!E$2:E$1000)=0,C6,ROUND(C6*MAX(0.1,IFERROR(Dashboard!B$3/Dashboard!B$10,1))*(1+Dashboard!F$6*IF(B6="Occ",0.5,IF(B6="Pun",0.35,IF(B6="Tit",0.25,IF(B6="Scm",0.15,0.05)))))*IF(OR(B6="Occ",B6="Pun"),Dashboard!V$6,IF(B6="Tit",Dashboard!W$6,Dashboard!X$6)),0)))</f>
        <v>1</v>
      </c>
      <c r="G6" s="89"/>
      <c r="M6" s="124"/>
      <c r="Q6" s="124"/>
      <c r="T6" s="88"/>
    </row>
    <row r="7" spans="1:20">
      <c r="A7" s="155" t="s">
        <v>42</v>
      </c>
      <c r="B7" s="99" t="s">
        <v>41</v>
      </c>
      <c r="C7" s="130">
        <v>6</v>
      </c>
      <c r="D7" s="78" t="s">
        <v>9</v>
      </c>
      <c r="E7" s="103"/>
      <c r="F7" s="122">
        <f>IF(D7&lt;&gt;"L","-",IF(COUNTA(P!E$2:E$1000)+COUNTA(D!E$2:E$1000)+COUNTA('C'!E$2:E$1000)+COUNTA(A!E$2:E$1000)=0,C7,ROUND(C7*MAX(0.1,IFERROR(Dashboard!B$3/Dashboard!B$10,1))*(1+Dashboard!F$6*IF(B7="Occ",0.5,IF(B7="Pun",0.35,IF(B7="Tit",0.25,IF(B7="Scm",0.15,0.05)))))*IF(OR(B7="Occ",B7="Pun"),Dashboard!V$6,IF(B7="Tit",Dashboard!W$6,Dashboard!X$6)),0)))</f>
        <v>6</v>
      </c>
      <c r="G7" s="89" t="s">
        <v>43</v>
      </c>
      <c r="M7" s="124"/>
      <c r="Q7" s="124"/>
      <c r="T7" s="88"/>
    </row>
    <row r="8" spans="1:20">
      <c r="A8" s="155" t="s">
        <v>44</v>
      </c>
      <c r="B8" s="99" t="s">
        <v>41</v>
      </c>
      <c r="C8" s="130">
        <v>6</v>
      </c>
      <c r="D8" s="78" t="s">
        <v>9</v>
      </c>
      <c r="E8" s="103"/>
      <c r="F8" s="122">
        <f>IF(D8&lt;&gt;"L","-",IF(COUNTA(P!E$2:E$1000)+COUNTA(D!E$2:E$1000)+COUNTA('C'!E$2:E$1000)+COUNTA(A!E$2:E$1000)=0,C8,ROUND(C8*MAX(0.1,IFERROR(Dashboard!B$3/Dashboard!B$10,1))*(1+Dashboard!F$6*IF(B8="Occ",0.5,IF(B8="Pun",0.35,IF(B8="Tit",0.25,IF(B8="Scm",0.15,0.05)))))*IF(OR(B8="Occ",B8="Pun"),Dashboard!V$6,IF(B8="Tit",Dashboard!W$6,Dashboard!X$6)),0)))</f>
        <v>6</v>
      </c>
      <c r="G8" s="89"/>
      <c r="T8" s="88"/>
    </row>
    <row r="9" spans="1:20">
      <c r="A9" s="155" t="s">
        <v>45</v>
      </c>
      <c r="B9" s="91" t="s">
        <v>8</v>
      </c>
      <c r="C9" s="129">
        <v>6</v>
      </c>
      <c r="D9" s="78" t="s">
        <v>9</v>
      </c>
      <c r="E9" s="103"/>
      <c r="F9" s="122">
        <f>IF(D9&lt;&gt;"L","-",IF(COUNTA(P!E$2:E$1000)+COUNTA(D!E$2:E$1000)+COUNTA('C'!E$2:E$1000)+COUNTA(A!E$2:E$1000)=0,C9,ROUND(C9*MAX(0.1,IFERROR(Dashboard!B$3/Dashboard!B$10,1))*(1+Dashboard!F$6*IF(B9="Occ",0.5,IF(B9="Pun",0.35,IF(B9="Tit",0.25,IF(B9="Scm",0.15,0.05)))))*IF(OR(B9="Occ",B9="Pun"),Dashboard!V$6,IF(B9="Tit",Dashboard!W$6,Dashboard!X$6)),0)))</f>
        <v>6</v>
      </c>
      <c r="G9" s="89"/>
      <c r="J9" s="124"/>
      <c r="N9" s="124"/>
      <c r="R9" s="124"/>
      <c r="T9" s="88"/>
    </row>
    <row r="10" spans="1:20">
      <c r="A10" s="155" t="s">
        <v>46</v>
      </c>
      <c r="B10" s="92" t="s">
        <v>13</v>
      </c>
      <c r="C10" s="129">
        <v>8</v>
      </c>
      <c r="D10" s="78" t="s">
        <v>9</v>
      </c>
      <c r="E10" s="103"/>
      <c r="F10" s="122">
        <f>IF(D10&lt;&gt;"L","-",IF(COUNTA(P!E$2:E$1000)+COUNTA(D!E$2:E$1000)+COUNTA('C'!E$2:E$1000)+COUNTA(A!E$2:E$1000)=0,C10,ROUND(C10*MAX(0.1,IFERROR(Dashboard!B$3/Dashboard!B$10,1))*(1+Dashboard!F$6*IF(B10="Occ",0.5,IF(B10="Pun",0.35,IF(B10="Tit",0.25,IF(B10="Scm",0.15,0.05)))))*IF(OR(B10="Occ",B10="Pun"),Dashboard!V$6,IF(B10="Tit",Dashboard!W$6,Dashboard!X$6)),0)))</f>
        <v>8</v>
      </c>
      <c r="G10" s="89"/>
      <c r="J10" s="124"/>
      <c r="M10" s="124"/>
      <c r="N10" s="124"/>
      <c r="R10" s="124"/>
      <c r="T10" s="88"/>
    </row>
    <row r="11" spans="1:20">
      <c r="A11" s="155" t="s">
        <v>47</v>
      </c>
      <c r="B11" s="94" t="s">
        <v>15</v>
      </c>
      <c r="C11" s="130">
        <v>1</v>
      </c>
      <c r="D11" s="78" t="s">
        <v>9</v>
      </c>
      <c r="E11" s="103"/>
      <c r="F11" s="122">
        <f>IF(D11&lt;&gt;"L","-",IF(COUNTA(P!E$2:E$1000)+COUNTA(D!E$2:E$1000)+COUNTA('C'!E$2:E$1000)+COUNTA(A!E$2:E$1000)=0,C11,ROUND(C11*MAX(0.1,IFERROR(Dashboard!B$3/Dashboard!B$10,1))*(1+Dashboard!F$6*IF(B11="Occ",0.5,IF(B11="Pun",0.35,IF(B11="Tit",0.25,IF(B11="Scm",0.15,0.05)))))*IF(OR(B11="Occ",B11="Pun"),Dashboard!V$6,IF(B11="Tit",Dashboard!W$6,Dashboard!X$6)),0)))</f>
        <v>1</v>
      </c>
      <c r="G11" s="89"/>
      <c r="I11" s="124"/>
      <c r="Q11" s="124"/>
      <c r="T11" s="88"/>
    </row>
    <row r="12" spans="1:20">
      <c r="A12" s="155" t="s">
        <v>48</v>
      </c>
      <c r="B12" s="92" t="s">
        <v>13</v>
      </c>
      <c r="C12" s="129">
        <v>8</v>
      </c>
      <c r="D12" s="78" t="s">
        <v>9</v>
      </c>
      <c r="E12" s="103"/>
      <c r="F12" s="122">
        <f>IF(D12&lt;&gt;"L","-",IF(COUNTA(P!E$2:E$1000)+COUNTA(D!E$2:E$1000)+COUNTA('C'!E$2:E$1000)+COUNTA(A!E$2:E$1000)=0,C12,ROUND(C12*MAX(0.1,IFERROR(Dashboard!B$3/Dashboard!B$10,1))*(1+Dashboard!F$6*IF(B12="Occ",0.5,IF(B12="Pun",0.35,IF(B12="Tit",0.25,IF(B12="Scm",0.15,0.05)))))*IF(OR(B12="Occ",B12="Pun"),Dashboard!V$6,IF(B12="Tit",Dashboard!W$6,Dashboard!X$6)),0)))</f>
        <v>8</v>
      </c>
      <c r="G12" s="161"/>
      <c r="J12" s="124"/>
      <c r="M12" s="124"/>
      <c r="N12" s="124"/>
      <c r="R12" s="124"/>
      <c r="T12" s="88"/>
    </row>
    <row r="13" spans="1:20">
      <c r="A13" s="155" t="s">
        <v>49</v>
      </c>
      <c r="B13" s="99" t="s">
        <v>41</v>
      </c>
      <c r="C13" s="130">
        <v>3</v>
      </c>
      <c r="D13" s="78" t="s">
        <v>9</v>
      </c>
      <c r="E13" s="103"/>
      <c r="F13" s="122">
        <f>IF(D13&lt;&gt;"L","-",IF(COUNTA(P!E$2:E$1000)+COUNTA(D!E$2:E$1000)+COUNTA('C'!E$2:E$1000)+COUNTA(A!E$2:E$1000)=0,C13,ROUND(C13*MAX(0.1,IFERROR(Dashboard!B$3/Dashboard!B$10,1))*(1+Dashboard!F$6*IF(B13="Occ",0.5,IF(B13="Pun",0.35,IF(B13="Tit",0.25,IF(B13="Scm",0.15,0.05)))))*IF(OR(B13="Occ",B13="Pun"),Dashboard!V$6,IF(B13="Tit",Dashboard!W$6,Dashboard!X$6)),0)))</f>
        <v>3</v>
      </c>
      <c r="G13" s="89"/>
      <c r="T13" s="88"/>
    </row>
    <row r="14" spans="1:20">
      <c r="A14" s="155" t="s">
        <v>50</v>
      </c>
      <c r="B14" s="99" t="s">
        <v>41</v>
      </c>
      <c r="C14" s="130">
        <v>1</v>
      </c>
      <c r="D14" s="78" t="s">
        <v>9</v>
      </c>
      <c r="E14" s="103"/>
      <c r="F14" s="122">
        <f>IF(D14&lt;&gt;"L","-",IF(COUNTA(P!E$2:E$1000)+COUNTA(D!E$2:E$1000)+COUNTA('C'!E$2:E$1000)+COUNTA(A!E$2:E$1000)=0,C14,ROUND(C14*MAX(0.1,IFERROR(Dashboard!B$3/Dashboard!B$10,1))*(1+Dashboard!F$6*IF(B14="Occ",0.5,IF(B14="Pun",0.35,IF(B14="Tit",0.25,IF(B14="Scm",0.15,0.05)))))*IF(OR(B14="Occ",B14="Pun"),Dashboard!V$6,IF(B14="Tit",Dashboard!W$6,Dashboard!X$6)),0)))</f>
        <v>1</v>
      </c>
      <c r="G14" s="89"/>
      <c r="M14" s="124"/>
      <c r="T14" s="88"/>
    </row>
    <row r="15" spans="1:20">
      <c r="A15" s="155" t="s">
        <v>51</v>
      </c>
      <c r="B15" s="92" t="s">
        <v>13</v>
      </c>
      <c r="C15" s="129">
        <v>8</v>
      </c>
      <c r="D15" s="78" t="s">
        <v>9</v>
      </c>
      <c r="E15" s="103"/>
      <c r="F15" s="122">
        <f>IF(D15&lt;&gt;"L","-",IF(COUNTA(P!E$2:E$1000)+COUNTA(D!E$2:E$1000)+COUNTA('C'!E$2:E$1000)+COUNTA(A!E$2:E$1000)=0,C15,ROUND(C15*MAX(0.1,IFERROR(Dashboard!B$3/Dashboard!B$10,1))*(1+Dashboard!F$6*IF(B15="Occ",0.5,IF(B15="Pun",0.35,IF(B15="Tit",0.25,IF(B15="Scm",0.15,0.05)))))*IF(OR(B15="Occ",B15="Pun"),Dashboard!V$6,IF(B15="Tit",Dashboard!W$6,Dashboard!X$6)),0)))</f>
        <v>8</v>
      </c>
      <c r="G15" s="89"/>
      <c r="J15" s="124"/>
      <c r="L15" s="136"/>
      <c r="M15" s="124"/>
      <c r="N15" s="124"/>
      <c r="Q15" s="124"/>
      <c r="R15" s="124"/>
      <c r="T15" s="88"/>
    </row>
    <row r="16" spans="1:20">
      <c r="A16" s="155" t="s">
        <v>52</v>
      </c>
      <c r="B16" s="99" t="s">
        <v>41</v>
      </c>
      <c r="C16" s="130">
        <v>1</v>
      </c>
      <c r="D16" s="78" t="s">
        <v>9</v>
      </c>
      <c r="E16" s="103"/>
      <c r="F16" s="122">
        <f>IF(D16&lt;&gt;"L","-",IF(COUNTA(P!E$2:E$1000)+COUNTA(D!E$2:E$1000)+COUNTA('C'!E$2:E$1000)+COUNTA(A!E$2:E$1000)=0,C16,ROUND(C16*MAX(0.1,IFERROR(Dashboard!B$3/Dashboard!B$10,1))*(1+Dashboard!F$6*IF(B16="Occ",0.5,IF(B16="Pun",0.35,IF(B16="Tit",0.25,IF(B16="Scm",0.15,0.05)))))*IF(OR(B16="Occ",B16="Pun"),Dashboard!V$6,IF(B16="Tit",Dashboard!W$6,Dashboard!X$6)),0)))</f>
        <v>1</v>
      </c>
      <c r="G16" s="89"/>
      <c r="I16" s="124"/>
      <c r="Q16" s="124"/>
      <c r="T16" s="88"/>
    </row>
    <row r="17" spans="1:23">
      <c r="A17" s="155" t="s">
        <v>53</v>
      </c>
      <c r="B17" s="94" t="s">
        <v>15</v>
      </c>
      <c r="C17" s="130">
        <v>1</v>
      </c>
      <c r="D17" s="78" t="s">
        <v>9</v>
      </c>
      <c r="E17" s="103"/>
      <c r="F17" s="122">
        <f>IF(D17&lt;&gt;"L","-",IF(COUNTA(P!E$2:E$1000)+COUNTA(D!E$2:E$1000)+COUNTA('C'!E$2:E$1000)+COUNTA(A!E$2:E$1000)=0,C17,ROUND(C17*MAX(0.1,IFERROR(Dashboard!B$3/Dashboard!B$10,1))*(1+Dashboard!F$6*IF(B17="Occ",0.5,IF(B17="Pun",0.35,IF(B17="Tit",0.25,IF(B17="Scm",0.15,0.05)))))*IF(OR(B17="Occ",B17="Pun"),Dashboard!V$6,IF(B17="Tit",Dashboard!W$6,Dashboard!X$6)),0)))</f>
        <v>1</v>
      </c>
      <c r="G17" s="89"/>
      <c r="M17" s="124"/>
      <c r="T17" s="88"/>
    </row>
    <row r="18" spans="1:23">
      <c r="A18" s="155" t="s">
        <v>54</v>
      </c>
      <c r="B18" s="93" t="s">
        <v>23</v>
      </c>
      <c r="C18" s="130">
        <v>1</v>
      </c>
      <c r="D18" s="78" t="s">
        <v>9</v>
      </c>
      <c r="E18" s="103"/>
      <c r="F18" s="122">
        <f>IF(D18&lt;&gt;"L","-",IF(COUNTA(P!E$2:E$1000)+COUNTA(D!E$2:E$1000)+COUNTA('C'!E$2:E$1000)+COUNTA(A!E$2:E$1000)=0,C18,ROUND(C18*MAX(0.1,IFERROR(Dashboard!B$3/Dashboard!B$10,1))*(1+Dashboard!F$6*IF(B18="Occ",0.5,IF(B18="Pun",0.35,IF(B18="Tit",0.25,IF(B18="Scm",0.15,0.05)))))*IF(OR(B18="Occ",B18="Pun"),Dashboard!V$6,IF(B18="Tit",Dashboard!W$6,Dashboard!X$6)),0)))</f>
        <v>1</v>
      </c>
      <c r="G18" s="89"/>
      <c r="T18" s="88"/>
    </row>
    <row r="19" spans="1:23">
      <c r="A19" s="155" t="s">
        <v>55</v>
      </c>
      <c r="B19" s="93" t="s">
        <v>23</v>
      </c>
      <c r="C19" s="130">
        <v>1</v>
      </c>
      <c r="D19" s="78" t="s">
        <v>9</v>
      </c>
      <c r="E19" s="103"/>
      <c r="F19" s="122">
        <f>IF(D19&lt;&gt;"L","-",IF(COUNTA(P!E$2:E$1000)+COUNTA(D!E$2:E$1000)+COUNTA('C'!E$2:E$1000)+COUNTA(A!E$2:E$1000)=0,C19,ROUND(C19*MAX(0.1,IFERROR(Dashboard!B$3/Dashboard!B$10,1))*(1+Dashboard!F$6*IF(B19="Occ",0.5,IF(B19="Pun",0.35,IF(B19="Tit",0.25,IF(B19="Scm",0.15,0.05)))))*IF(OR(B19="Occ",B19="Pun"),Dashboard!V$6,IF(B19="Tit",Dashboard!W$6,Dashboard!X$6)),0)))</f>
        <v>1</v>
      </c>
      <c r="G19" s="89"/>
      <c r="M19" s="124"/>
      <c r="T19" s="88"/>
    </row>
    <row r="20" spans="1:23">
      <c r="A20" s="155" t="s">
        <v>56</v>
      </c>
      <c r="B20" s="99" t="s">
        <v>41</v>
      </c>
      <c r="C20" s="130">
        <v>1</v>
      </c>
      <c r="D20" s="78" t="s">
        <v>9</v>
      </c>
      <c r="E20" s="103"/>
      <c r="F20" s="122">
        <f>IF(D20&lt;&gt;"L","-",IF(COUNTA(P!E$2:E$1000)+COUNTA(D!E$2:E$1000)+COUNTA('C'!E$2:E$1000)+COUNTA(A!E$2:E$1000)=0,C20,ROUND(C20*MAX(0.1,IFERROR(Dashboard!B$3/Dashboard!B$10,1))*(1+Dashboard!F$6*IF(B20="Occ",0.5,IF(B20="Pun",0.35,IF(B20="Tit",0.25,IF(B20="Scm",0.15,0.05)))))*IF(OR(B20="Occ",B20="Pun"),Dashboard!V$6,IF(B20="Tit",Dashboard!W$6,Dashboard!X$6)),0)))</f>
        <v>1</v>
      </c>
      <c r="G20" s="89"/>
      <c r="H20" s="136"/>
      <c r="M20" s="124"/>
      <c r="Q20" s="124"/>
      <c r="T20" s="88"/>
    </row>
    <row r="21" spans="1:23">
      <c r="A21" s="155" t="s">
        <v>57</v>
      </c>
      <c r="B21" s="99" t="s">
        <v>41</v>
      </c>
      <c r="C21" s="130">
        <v>1</v>
      </c>
      <c r="D21" s="78" t="s">
        <v>9</v>
      </c>
      <c r="E21" s="103"/>
      <c r="F21" s="122">
        <f>IF(D21&lt;&gt;"L","-",IF(COUNTA(P!E$2:E$1000)+COUNTA(D!E$2:E$1000)+COUNTA('C'!E$2:E$1000)+COUNTA(A!E$2:E$1000)=0,C21,ROUND(C21*MAX(0.1,IFERROR(Dashboard!B$3/Dashboard!B$10,1))*(1+Dashboard!F$6*IF(B21="Occ",0.5,IF(B21="Pun",0.35,IF(B21="Tit",0.25,IF(B21="Scm",0.15,0.05)))))*IF(OR(B21="Occ",B21="Pun"),Dashboard!V$6,IF(B21="Tit",Dashboard!W$6,Dashboard!X$6)),0)))</f>
        <v>1</v>
      </c>
      <c r="G21" s="161"/>
      <c r="T21" s="88"/>
    </row>
    <row r="22" spans="1:23">
      <c r="A22" s="155" t="s">
        <v>58</v>
      </c>
      <c r="B22" s="93" t="s">
        <v>23</v>
      </c>
      <c r="C22" s="130">
        <v>3</v>
      </c>
      <c r="D22" s="78" t="s">
        <v>9</v>
      </c>
      <c r="E22" s="103"/>
      <c r="F22" s="122">
        <f>IF(D22&lt;&gt;"L","-",IF(COUNTA(P!E$2:E$1000)+COUNTA(D!E$2:E$1000)+COUNTA('C'!E$2:E$1000)+COUNTA(A!E$2:E$1000)=0,C22,ROUND(C22*MAX(0.1,IFERROR(Dashboard!B$3/Dashboard!B$10,1))*(1+Dashboard!F$6*IF(B22="Occ",0.5,IF(B22="Pun",0.35,IF(B22="Tit",0.25,IF(B22="Scm",0.15,0.05)))))*IF(OR(B22="Occ",B22="Pun"),Dashboard!V$6,IF(B22="Tit",Dashboard!W$6,Dashboard!X$6)),0)))</f>
        <v>3</v>
      </c>
      <c r="G22" s="89"/>
      <c r="H22" s="136"/>
      <c r="I22" s="124"/>
      <c r="P22" s="136"/>
      <c r="Q22" s="124"/>
      <c r="T22" s="88"/>
    </row>
    <row r="23" spans="1:23">
      <c r="A23" s="155" t="s">
        <v>59</v>
      </c>
      <c r="B23" s="91" t="s">
        <v>8</v>
      </c>
      <c r="C23" s="129">
        <v>10</v>
      </c>
      <c r="D23" s="78" t="s">
        <v>9</v>
      </c>
      <c r="E23" s="103"/>
      <c r="F23" s="122">
        <f>IF(D23&lt;&gt;"L","-",IF(COUNTA(P!E$2:E$1000)+COUNTA(D!E$2:E$1000)+COUNTA('C'!E$2:E$1000)+COUNTA(A!E$2:E$1000)=0,C23,ROUND(C23*MAX(0.1,IFERROR(Dashboard!B$3/Dashboard!B$10,1))*(1+Dashboard!F$6*IF(B23="Occ",0.5,IF(B23="Pun",0.35,IF(B23="Tit",0.25,IF(B23="Scm",0.15,0.05)))))*IF(OR(B23="Occ",B23="Pun"),Dashboard!V$6,IF(B23="Tit",Dashboard!W$6,Dashboard!X$6)),0)))</f>
        <v>10</v>
      </c>
      <c r="G23" s="89"/>
      <c r="H23" s="136"/>
      <c r="I23" s="124"/>
      <c r="J23" s="124"/>
      <c r="M23" s="124"/>
      <c r="N23" s="124"/>
      <c r="R23" s="124"/>
      <c r="T23" s="88"/>
    </row>
    <row r="24" spans="1:23">
      <c r="A24" s="155" t="s">
        <v>60</v>
      </c>
      <c r="B24" s="99" t="s">
        <v>41</v>
      </c>
      <c r="C24" s="130">
        <v>1</v>
      </c>
      <c r="D24" s="78" t="s">
        <v>9</v>
      </c>
      <c r="E24" s="103"/>
      <c r="F24" s="122">
        <f>IF(D24&lt;&gt;"L","-",IF(COUNTA(P!E$2:E$1000)+COUNTA(D!E$2:E$1000)+COUNTA('C'!E$2:E$1000)+COUNTA(A!E$2:E$1000)=0,C24,ROUND(C24*MAX(0.1,IFERROR(Dashboard!B$3/Dashboard!B$10,1))*(1+Dashboard!F$6*IF(B24="Occ",0.5,IF(B24="Pun",0.35,IF(B24="Tit",0.25,IF(B24="Scm",0.15,0.05)))))*IF(OR(B24="Occ",B24="Pun"),Dashboard!V$6,IF(B24="Tit",Dashboard!W$6,Dashboard!X$6)),0)))</f>
        <v>1</v>
      </c>
      <c r="G24" s="89"/>
      <c r="I24" s="124"/>
      <c r="M24" s="124"/>
      <c r="T24" s="88"/>
    </row>
    <row r="25" spans="1:23">
      <c r="A25" s="155" t="s">
        <v>61</v>
      </c>
      <c r="B25" s="91" t="s">
        <v>8</v>
      </c>
      <c r="C25" s="129">
        <v>5</v>
      </c>
      <c r="D25" s="78" t="s">
        <v>9</v>
      </c>
      <c r="E25" s="103"/>
      <c r="F25" s="122">
        <f>IF(D25&lt;&gt;"L","-",IF(COUNTA(P!E$2:E$1000)+COUNTA(D!E$2:E$1000)+COUNTA('C'!E$2:E$1000)+COUNTA(A!E$2:E$1000)=0,C25,ROUND(C25*MAX(0.1,IFERROR(Dashboard!B$3/Dashboard!B$10,1))*(1+Dashboard!F$6*IF(B25="Occ",0.5,IF(B25="Pun",0.35,IF(B25="Tit",0.25,IF(B25="Scm",0.15,0.05)))))*IF(OR(B25="Occ",B25="Pun"),Dashboard!V$6,IF(B25="Tit",Dashboard!W$6,Dashboard!X$6)),0)))</f>
        <v>5</v>
      </c>
      <c r="G25" s="89"/>
      <c r="J25" s="124"/>
      <c r="N25" s="124"/>
      <c r="Q25" s="124"/>
      <c r="R25" s="124"/>
      <c r="T25" s="88"/>
    </row>
    <row r="26" spans="1:23">
      <c r="A26" s="155" t="s">
        <v>62</v>
      </c>
      <c r="B26" s="92" t="s">
        <v>13</v>
      </c>
      <c r="C26" s="129">
        <v>6</v>
      </c>
      <c r="D26" s="78" t="s">
        <v>9</v>
      </c>
      <c r="E26" s="103"/>
      <c r="F26" s="122">
        <f>IF(D26&lt;&gt;"L","-",IF(COUNTA(P!E$2:E$1000)+COUNTA(D!E$2:E$1000)+COUNTA('C'!E$2:E$1000)+COUNTA(A!E$2:E$1000)=0,C26,ROUND(C26*MAX(0.1,IFERROR(Dashboard!B$3/Dashboard!B$10,1))*(1+Dashboard!F$6*IF(B26="Occ",0.5,IF(B26="Pun",0.35,IF(B26="Tit",0.25,IF(B26="Scm",0.15,0.05)))))*IF(OR(B26="Occ",B26="Pun"),Dashboard!V$6,IF(B26="Tit",Dashboard!W$6,Dashboard!X$6)),0)))</f>
        <v>6</v>
      </c>
      <c r="G26" s="89"/>
      <c r="J26" s="124"/>
      <c r="M26" s="124"/>
      <c r="N26" s="124"/>
      <c r="R26" s="124"/>
      <c r="T26" s="88"/>
    </row>
    <row r="27" spans="1:23">
      <c r="A27" s="155" t="s">
        <v>63</v>
      </c>
      <c r="B27" s="92" t="s">
        <v>13</v>
      </c>
      <c r="C27" s="129">
        <v>17</v>
      </c>
      <c r="D27" s="78" t="s">
        <v>9</v>
      </c>
      <c r="E27" s="103"/>
      <c r="F27" s="122">
        <f>IF(D27&lt;&gt;"L","-",IF(COUNTA(P!E$2:E$1000)+COUNTA(D!E$2:E$1000)+COUNTA('C'!E$2:E$1000)+COUNTA(A!E$2:E$1000)=0,C27,ROUND(C27*MAX(0.1,IFERROR(Dashboard!B$3/Dashboard!B$10,1))*(1+Dashboard!F$6*IF(B27="Occ",0.5,IF(B27="Pun",0.35,IF(B27="Tit",0.25,IF(B27="Scm",0.15,0.05)))))*IF(OR(B27="Occ",B27="Pun"),Dashboard!V$6,IF(B27="Tit",Dashboard!W$6,Dashboard!X$6)),0)))</f>
        <v>17</v>
      </c>
      <c r="G27" s="89" t="s">
        <v>64</v>
      </c>
      <c r="J27" s="124"/>
      <c r="N27" s="124"/>
      <c r="Q27" s="124"/>
      <c r="R27" s="124"/>
      <c r="T27" s="88"/>
    </row>
    <row r="28" spans="1:23">
      <c r="A28" s="155" t="s">
        <v>65</v>
      </c>
      <c r="B28" s="99" t="s">
        <v>41</v>
      </c>
      <c r="C28" s="130">
        <v>7</v>
      </c>
      <c r="D28" s="78" t="s">
        <v>9</v>
      </c>
      <c r="E28" s="103"/>
      <c r="F28" s="122">
        <f>IF(D28&lt;&gt;"L","-",IF(COUNTA(P!E$2:E$1000)+COUNTA(D!E$2:E$1000)+COUNTA('C'!E$2:E$1000)+COUNTA(A!E$2:E$1000)=0,C28,ROUND(C28*MAX(0.1,IFERROR(Dashboard!B$3/Dashboard!B$10,1))*(1+Dashboard!F$6*IF(B28="Occ",0.5,IF(B28="Pun",0.35,IF(B28="Tit",0.25,IF(B28="Scm",0.15,0.05)))))*IF(OR(B28="Occ",B28="Pun"),Dashboard!V$6,IF(B28="Tit",Dashboard!W$6,Dashboard!X$6)),0)))</f>
        <v>7</v>
      </c>
      <c r="G28" s="89"/>
      <c r="T28" s="88"/>
    </row>
    <row r="29" spans="1:23">
      <c r="A29" s="155" t="s">
        <v>66</v>
      </c>
      <c r="B29" s="94" t="s">
        <v>15</v>
      </c>
      <c r="C29" s="130">
        <v>1</v>
      </c>
      <c r="D29" s="78" t="s">
        <v>9</v>
      </c>
      <c r="E29" s="103"/>
      <c r="F29" s="122">
        <f>IF(D29&lt;&gt;"L","-",IF(COUNTA(P!E$2:E$1000)+COUNTA(D!E$2:E$1000)+COUNTA('C'!E$2:E$1000)+COUNTA(A!E$2:E$1000)=0,C29,ROUND(C29*MAX(0.1,IFERROR(Dashboard!B$3/Dashboard!B$10,1))*(1+Dashboard!F$6*IF(B29="Occ",0.5,IF(B29="Pun",0.35,IF(B29="Tit",0.25,IF(B29="Scm",0.15,0.05)))))*IF(OR(B29="Occ",B29="Pun"),Dashboard!V$6,IF(B29="Tit",Dashboard!W$6,Dashboard!X$6)),0)))</f>
        <v>1</v>
      </c>
      <c r="G29" s="89"/>
      <c r="M29" s="124"/>
      <c r="P29" s="136"/>
      <c r="Q29" s="124"/>
      <c r="T29" s="88"/>
    </row>
    <row r="30" spans="1:23">
      <c r="A30" s="155" t="s">
        <v>67</v>
      </c>
      <c r="B30" s="93" t="s">
        <v>23</v>
      </c>
      <c r="C30" s="130">
        <v>1</v>
      </c>
      <c r="D30" s="78" t="s">
        <v>9</v>
      </c>
      <c r="E30" s="103"/>
      <c r="F30" s="122">
        <f>IF(D30&lt;&gt;"L","-",IF(COUNTA(P!E$2:E$1000)+COUNTA(D!E$2:E$1000)+COUNTA('C'!E$2:E$1000)+COUNTA(A!E$2:E$1000)=0,C30,ROUND(C30*MAX(0.1,IFERROR(Dashboard!B$3/Dashboard!B$10,1))*(1+Dashboard!F$6*IF(B30="Occ",0.5,IF(B30="Pun",0.35,IF(B30="Tit",0.25,IF(B30="Scm",0.15,0.05)))))*IF(OR(B30="Occ",B30="Pun"),Dashboard!V$6,IF(B30="Tit",Dashboard!W$6,Dashboard!X$6)),0)))</f>
        <v>1</v>
      </c>
      <c r="G30" s="84" t="s">
        <v>68</v>
      </c>
      <c r="T30" s="88"/>
      <c r="U30" s="88"/>
      <c r="V30" s="88"/>
      <c r="W30" s="88"/>
    </row>
    <row r="31" spans="1:23">
      <c r="A31" s="155" t="s">
        <v>69</v>
      </c>
      <c r="B31" s="99" t="s">
        <v>41</v>
      </c>
      <c r="C31" s="130">
        <v>1</v>
      </c>
      <c r="D31" s="78" t="s">
        <v>9</v>
      </c>
      <c r="E31" s="103"/>
      <c r="F31" s="122">
        <f>IF(D31&lt;&gt;"L","-",IF(COUNTA(P!E$2:E$1000)+COUNTA(D!E$2:E$1000)+COUNTA('C'!E$2:E$1000)+COUNTA(A!E$2:E$1000)=0,C31,ROUND(C31*MAX(0.1,IFERROR(Dashboard!B$3/Dashboard!B$10,1))*(1+Dashboard!F$6*IF(B31="Occ",0.5,IF(B31="Pun",0.35,IF(B31="Tit",0.25,IF(B31="Scm",0.15,0.05)))))*IF(OR(B31="Occ",B31="Pun"),Dashboard!V$6,IF(B31="Tit",Dashboard!W$6,Dashboard!X$6)),0)))</f>
        <v>1</v>
      </c>
      <c r="G31" s="84"/>
      <c r="T31" s="88"/>
      <c r="U31" s="88"/>
      <c r="V31" s="88"/>
      <c r="W31" s="88"/>
    </row>
    <row r="32" spans="1:23">
      <c r="A32" s="155" t="s">
        <v>70</v>
      </c>
      <c r="B32" s="92" t="s">
        <v>13</v>
      </c>
      <c r="C32" s="129">
        <v>4</v>
      </c>
      <c r="D32" s="78" t="s">
        <v>9</v>
      </c>
      <c r="E32" s="103"/>
      <c r="F32" s="122">
        <f>IF(D32&lt;&gt;"L","-",IF(COUNTA(P!E$2:E$1000)+COUNTA(D!E$2:E$1000)+COUNTA('C'!E$2:E$1000)+COUNTA(A!E$2:E$1000)=0,C32,ROUND(C32*MAX(0.1,IFERROR(Dashboard!B$3/Dashboard!B$10,1))*(1+Dashboard!F$6*IF(B32="Occ",0.5,IF(B32="Pun",0.35,IF(B32="Tit",0.25,IF(B32="Scm",0.15,0.05)))))*IF(OR(B32="Occ",B32="Pun"),Dashboard!V$6,IF(B32="Tit",Dashboard!W$6,Dashboard!X$6)),0)))</f>
        <v>4</v>
      </c>
      <c r="G32" s="89" t="s">
        <v>71</v>
      </c>
      <c r="J32" s="124"/>
      <c r="N32" s="124"/>
      <c r="Q32" s="124"/>
      <c r="R32" s="124"/>
      <c r="T32" s="88"/>
      <c r="U32" s="88"/>
      <c r="V32" s="88"/>
      <c r="W32" s="88"/>
    </row>
    <row r="33" spans="1:23">
      <c r="A33" s="155" t="s">
        <v>72</v>
      </c>
      <c r="B33" s="94" t="s">
        <v>15</v>
      </c>
      <c r="C33" s="129">
        <v>1</v>
      </c>
      <c r="D33" s="78" t="s">
        <v>9</v>
      </c>
      <c r="E33" s="103"/>
      <c r="F33" s="122">
        <f>IF(D33&lt;&gt;"L","-",IF(COUNTA(P!E$2:E$1000)+COUNTA(D!E$2:E$1000)+COUNTA('C'!E$2:E$1000)+COUNTA(A!E$2:E$1000)=0,C33,ROUND(C33*MAX(0.1,IFERROR(Dashboard!B$3/Dashboard!B$10,1))*(1+Dashboard!F$6*IF(B33="Occ",0.5,IF(B33="Pun",0.35,IF(B33="Tit",0.25,IF(B33="Scm",0.15,0.05)))))*IF(OR(B33="Occ",B33="Pun"),Dashboard!V$6,IF(B33="Tit",Dashboard!W$6,Dashboard!X$6)),0)))</f>
        <v>1</v>
      </c>
      <c r="G33" s="89"/>
      <c r="J33" s="124"/>
      <c r="M33" s="124"/>
      <c r="N33" s="124"/>
      <c r="T33" s="88"/>
      <c r="U33" s="88"/>
      <c r="V33" s="88"/>
      <c r="W33" s="88"/>
    </row>
    <row r="34" spans="1:23">
      <c r="A34" s="155" t="s">
        <v>73</v>
      </c>
      <c r="B34" s="93" t="s">
        <v>23</v>
      </c>
      <c r="C34" s="130">
        <v>1</v>
      </c>
      <c r="D34" s="78" t="s">
        <v>9</v>
      </c>
      <c r="E34" s="103"/>
      <c r="F34" s="122">
        <f>IF(D34&lt;&gt;"L","-",IF(COUNTA(P!E$2:E$1000)+COUNTA(D!E$2:E$1000)+COUNTA('C'!E$2:E$1000)+COUNTA(A!E$2:E$1000)=0,C34,ROUND(C34*MAX(0.1,IFERROR(Dashboard!B$3/Dashboard!B$10,1))*(1+Dashboard!F$6*IF(B34="Occ",0.5,IF(B34="Pun",0.35,IF(B34="Tit",0.25,IF(B34="Scm",0.15,0.05)))))*IF(OR(B34="Occ",B34="Pun"),Dashboard!V$6,IF(B34="Tit",Dashboard!W$6,Dashboard!X$6)),0)))</f>
        <v>1</v>
      </c>
      <c r="G34" s="89" t="s">
        <v>74</v>
      </c>
      <c r="I34" s="124"/>
      <c r="M34" s="124"/>
      <c r="T34" s="88"/>
      <c r="U34" s="88"/>
      <c r="V34" s="88"/>
      <c r="W34" s="88"/>
    </row>
    <row r="35" spans="1:23">
      <c r="A35" s="155" t="s">
        <v>75</v>
      </c>
      <c r="B35" s="94" t="s">
        <v>15</v>
      </c>
      <c r="C35" s="130">
        <v>1</v>
      </c>
      <c r="D35" s="78" t="s">
        <v>9</v>
      </c>
      <c r="E35" s="103"/>
      <c r="F35" s="122">
        <f>IF(D35&lt;&gt;"L","-",IF(COUNTA(P!E$2:E$1000)+COUNTA(D!E$2:E$1000)+COUNTA('C'!E$2:E$1000)+COUNTA(A!E$2:E$1000)=0,C35,ROUND(C35*MAX(0.1,IFERROR(Dashboard!B$3/Dashboard!B$10,1))*(1+Dashboard!F$6*IF(B35="Occ",0.5,IF(B35="Pun",0.35,IF(B35="Tit",0.25,IF(B35="Scm",0.15,0.05)))))*IF(OR(B35="Occ",B35="Pun"),Dashboard!V$6,IF(B35="Tit",Dashboard!W$6,Dashboard!X$6)),0)))</f>
        <v>1</v>
      </c>
      <c r="G35" s="89"/>
      <c r="I35" s="124"/>
      <c r="M35" s="124"/>
      <c r="T35" s="88"/>
      <c r="U35" s="88"/>
      <c r="V35" s="88"/>
      <c r="W35" s="88"/>
    </row>
    <row r="36" spans="1:23">
      <c r="A36" s="155" t="s">
        <v>76</v>
      </c>
      <c r="B36" s="99" t="s">
        <v>41</v>
      </c>
      <c r="C36" s="130">
        <v>3</v>
      </c>
      <c r="D36" s="78" t="s">
        <v>9</v>
      </c>
      <c r="E36" s="103"/>
      <c r="F36" s="122">
        <f>IF(D36&lt;&gt;"L","-",IF(COUNTA(P!E$2:E$1000)+COUNTA(D!E$2:E$1000)+COUNTA('C'!E$2:E$1000)+COUNTA(A!E$2:E$1000)=0,C36,ROUND(C36*MAX(0.1,IFERROR(Dashboard!B$3/Dashboard!B$10,1))*(1+Dashboard!F$6*IF(B36="Occ",0.5,IF(B36="Pun",0.35,IF(B36="Tit",0.25,IF(B36="Scm",0.15,0.05)))))*IF(OR(B36="Occ",B36="Pun"),Dashboard!V$6,IF(B36="Tit",Dashboard!W$6,Dashboard!X$6)),0)))</f>
        <v>3</v>
      </c>
      <c r="G36" s="89"/>
      <c r="T36" s="88"/>
      <c r="U36" s="88"/>
      <c r="V36" s="88"/>
      <c r="W36" s="88"/>
    </row>
    <row r="37" spans="1:23">
      <c r="A37" s="155" t="s">
        <v>77</v>
      </c>
      <c r="B37" s="99" t="s">
        <v>41</v>
      </c>
      <c r="C37" s="129">
        <v>3</v>
      </c>
      <c r="D37" s="78" t="s">
        <v>9</v>
      </c>
      <c r="E37" s="103"/>
      <c r="F37" s="122">
        <f>IF(D37&lt;&gt;"L","-",IF(COUNTA(P!E$2:E$1000)+COUNTA(D!E$2:E$1000)+COUNTA('C'!E$2:E$1000)+COUNTA(A!E$2:E$1000)=0,C37,ROUND(C37*MAX(0.1,IFERROR(Dashboard!B$3/Dashboard!B$10,1))*(1+Dashboard!F$6*IF(B37="Occ",0.5,IF(B37="Pun",0.35,IF(B37="Tit",0.25,IF(B37="Scm",0.15,0.05)))))*IF(OR(B37="Occ",B37="Pun"),Dashboard!V$6,IF(B37="Tit",Dashboard!W$6,Dashboard!X$6)),0)))</f>
        <v>3</v>
      </c>
      <c r="G37" s="89"/>
      <c r="J37" s="124"/>
      <c r="N37" s="124"/>
      <c r="T37" s="88"/>
      <c r="U37" s="88"/>
      <c r="V37" s="88"/>
      <c r="W37" s="88"/>
    </row>
    <row r="38" spans="1:23">
      <c r="A38" s="155" t="s">
        <v>78</v>
      </c>
      <c r="B38" s="99" t="s">
        <v>41</v>
      </c>
      <c r="C38" s="129">
        <v>1</v>
      </c>
      <c r="D38" s="78" t="s">
        <v>9</v>
      </c>
      <c r="E38" s="103"/>
      <c r="F38" s="122">
        <f>IF(D38&lt;&gt;"L","-",IF(COUNTA(P!E$2:E$1000)+COUNTA(D!E$2:E$1000)+COUNTA('C'!E$2:E$1000)+COUNTA(A!E$2:E$1000)=0,C38,ROUND(C38*MAX(0.1,IFERROR(Dashboard!B$3/Dashboard!B$10,1))*(1+Dashboard!F$6*IF(B38="Occ",0.5,IF(B38="Pun",0.35,IF(B38="Tit",0.25,IF(B38="Scm",0.15,0.05)))))*IF(OR(B38="Occ",B38="Pun"),Dashboard!V$6,IF(B38="Tit",Dashboard!W$6,Dashboard!X$6)),0)))</f>
        <v>1</v>
      </c>
      <c r="G38" s="89"/>
      <c r="I38" s="124"/>
      <c r="J38" s="124"/>
      <c r="N38" s="124"/>
      <c r="T38" s="88"/>
      <c r="U38" s="88"/>
      <c r="V38" s="88"/>
      <c r="W38" s="88"/>
    </row>
    <row r="39" spans="1:23">
      <c r="A39" s="155" t="s">
        <v>79</v>
      </c>
      <c r="B39" s="92" t="s">
        <v>13</v>
      </c>
      <c r="C39" s="130">
        <v>4</v>
      </c>
      <c r="D39" s="78" t="s">
        <v>9</v>
      </c>
      <c r="E39" s="103"/>
      <c r="F39" s="122">
        <f>IF(D39&lt;&gt;"L","-",IF(COUNTA(P!E$2:E$1000)+COUNTA(D!E$2:E$1000)+COUNTA('C'!E$2:E$1000)+COUNTA(A!E$2:E$1000)=0,C39,ROUND(C39*MAX(0.1,IFERROR(Dashboard!B$3/Dashboard!B$10,1))*(1+Dashboard!F$6*IF(B39="Occ",0.5,IF(B39="Pun",0.35,IF(B39="Tit",0.25,IF(B39="Scm",0.15,0.05)))))*IF(OR(B39="Occ",B39="Pun"),Dashboard!V$6,IF(B39="Tit",Dashboard!W$6,Dashboard!X$6)),0)))</f>
        <v>4</v>
      </c>
      <c r="G39" s="89"/>
      <c r="M39" s="124"/>
      <c r="R39" s="124"/>
      <c r="T39" s="88"/>
      <c r="U39" s="88"/>
      <c r="V39" s="88"/>
      <c r="W39" s="88"/>
    </row>
    <row r="40" spans="1:23">
      <c r="A40" s="155" t="s">
        <v>80</v>
      </c>
      <c r="B40" s="93" t="s">
        <v>23</v>
      </c>
      <c r="C40" s="129">
        <v>1</v>
      </c>
      <c r="D40" s="78" t="s">
        <v>9</v>
      </c>
      <c r="E40" s="103"/>
      <c r="F40" s="122">
        <f>IF(D40&lt;&gt;"L","-",IF(COUNTA(P!E$2:E$1000)+COUNTA(D!E$2:E$1000)+COUNTA('C'!E$2:E$1000)+COUNTA(A!E$2:E$1000)=0,C40,ROUND(C40*MAX(0.1,IFERROR(Dashboard!B$3/Dashboard!B$10,1))*(1+Dashboard!F$6*IF(B40="Occ",0.5,IF(B40="Pun",0.35,IF(B40="Tit",0.25,IF(B40="Scm",0.15,0.05)))))*IF(OR(B40="Occ",B40="Pun"),Dashboard!V$6,IF(B40="Tit",Dashboard!W$6,Dashboard!X$6)),0)))</f>
        <v>1</v>
      </c>
      <c r="G40" s="89"/>
      <c r="I40" s="124"/>
      <c r="J40" s="124"/>
      <c r="N40" s="124"/>
      <c r="T40" s="88"/>
      <c r="U40" s="88"/>
      <c r="V40" s="88"/>
      <c r="W40" s="88"/>
    </row>
    <row r="41" spans="1:23">
      <c r="A41" s="155" t="s">
        <v>81</v>
      </c>
      <c r="B41" s="94" t="s">
        <v>15</v>
      </c>
      <c r="C41" s="130">
        <v>1</v>
      </c>
      <c r="D41" s="78" t="s">
        <v>9</v>
      </c>
      <c r="E41" s="103"/>
      <c r="F41" s="122">
        <f>IF(D41&lt;&gt;"L","-",IF(COUNTA(P!E$2:E$1000)+COUNTA(D!E$2:E$1000)+COUNTA('C'!E$2:E$1000)+COUNTA(A!E$2:E$1000)=0,C41,ROUND(C41*MAX(0.1,IFERROR(Dashboard!B$3/Dashboard!B$10,1))*(1+Dashboard!F$6*IF(B41="Occ",0.5,IF(B41="Pun",0.35,IF(B41="Tit",0.25,IF(B41="Scm",0.15,0.05)))))*IF(OR(B41="Occ",B41="Pun"),Dashboard!V$6,IF(B41="Tit",Dashboard!W$6,Dashboard!X$6)),0)))</f>
        <v>1</v>
      </c>
      <c r="G41" s="89"/>
      <c r="T41" s="88"/>
      <c r="U41" s="88"/>
      <c r="V41" s="88"/>
      <c r="W41" s="88"/>
    </row>
    <row r="42" spans="1:23">
      <c r="A42" s="155" t="s">
        <v>82</v>
      </c>
      <c r="B42" s="99" t="s">
        <v>41</v>
      </c>
      <c r="C42" s="130">
        <v>1</v>
      </c>
      <c r="D42" s="78" t="s">
        <v>9</v>
      </c>
      <c r="E42" s="103"/>
      <c r="F42" s="122">
        <f>IF(D42&lt;&gt;"L","-",IF(COUNTA(P!E$2:E$1000)+COUNTA(D!E$2:E$1000)+COUNTA('C'!E$2:E$1000)+COUNTA(A!E$2:E$1000)=0,C42,ROUND(C42*MAX(0.1,IFERROR(Dashboard!B$3/Dashboard!B$10,1))*(1+Dashboard!F$6*IF(B42="Occ",0.5,IF(B42="Pun",0.35,IF(B42="Tit",0.25,IF(B42="Scm",0.15,0.05)))))*IF(OR(B42="Occ",B42="Pun"),Dashboard!V$6,IF(B42="Tit",Dashboard!W$6,Dashboard!X$6)),0)))</f>
        <v>1</v>
      </c>
      <c r="G42" s="89"/>
      <c r="I42" s="124"/>
      <c r="T42" s="88"/>
      <c r="U42" s="88"/>
      <c r="V42" s="88"/>
      <c r="W42" s="88"/>
    </row>
    <row r="43" spans="1:23">
      <c r="A43" s="155" t="s">
        <v>83</v>
      </c>
      <c r="B43" s="94" t="s">
        <v>15</v>
      </c>
      <c r="C43" s="129">
        <v>1</v>
      </c>
      <c r="D43" s="78" t="s">
        <v>9</v>
      </c>
      <c r="E43" s="103"/>
      <c r="F43" s="122">
        <f>IF(D43&lt;&gt;"L","-",IF(COUNTA(P!E$2:E$1000)+COUNTA(D!E$2:E$1000)+COUNTA('C'!E$2:E$1000)+COUNTA(A!E$2:E$1000)=0,C43,ROUND(C43*MAX(0.1,IFERROR(Dashboard!B$3/Dashboard!B$10,1))*(1+Dashboard!F$6*IF(B43="Occ",0.5,IF(B43="Pun",0.35,IF(B43="Tit",0.25,IF(B43="Scm",0.15,0.05)))))*IF(OR(B43="Occ",B43="Pun"),Dashboard!V$6,IF(B43="Tit",Dashboard!W$6,Dashboard!X$6)),0)))</f>
        <v>1</v>
      </c>
      <c r="G43" s="89"/>
      <c r="H43" s="136"/>
      <c r="I43" s="124"/>
      <c r="J43" s="124"/>
      <c r="M43" s="124"/>
      <c r="N43" s="124"/>
      <c r="T43" s="88"/>
      <c r="U43" s="88"/>
      <c r="V43" s="88"/>
      <c r="W43" s="88"/>
    </row>
    <row r="44" spans="1:23">
      <c r="A44" s="155" t="s">
        <v>84</v>
      </c>
      <c r="B44" s="91" t="s">
        <v>8</v>
      </c>
      <c r="C44" s="130">
        <v>10</v>
      </c>
      <c r="D44" s="78" t="s">
        <v>9</v>
      </c>
      <c r="E44" s="103"/>
      <c r="F44" s="122">
        <f>IF(D44&lt;&gt;"L","-",IF(COUNTA(P!E$2:E$1000)+COUNTA(D!E$2:E$1000)+COUNTA('C'!E$2:E$1000)+COUNTA(A!E$2:E$1000)=0,C44,ROUND(C44*MAX(0.1,IFERROR(Dashboard!B$3/Dashboard!B$10,1))*(1+Dashboard!F$6*IF(B44="Occ",0.5,IF(B44="Pun",0.35,IF(B44="Tit",0.25,IF(B44="Scm",0.15,0.05)))))*IF(OR(B44="Occ",B44="Pun"),Dashboard!V$6,IF(B44="Tit",Dashboard!W$6,Dashboard!X$6)),0)))</f>
        <v>10</v>
      </c>
      <c r="G44" s="89"/>
      <c r="M44" s="124"/>
      <c r="R44" s="124"/>
      <c r="T44" s="88"/>
      <c r="U44" s="88"/>
      <c r="V44" s="88"/>
      <c r="W44" s="88"/>
    </row>
    <row r="45" spans="1:23">
      <c r="A45" s="155" t="s">
        <v>85</v>
      </c>
      <c r="B45" s="94" t="s">
        <v>15</v>
      </c>
      <c r="C45" s="130">
        <v>1</v>
      </c>
      <c r="D45" s="78" t="s">
        <v>9</v>
      </c>
      <c r="E45" s="103"/>
      <c r="F45" s="122">
        <f>IF(D45&lt;&gt;"L","-",IF(COUNTA(P!E$2:E$1000)+COUNTA(D!E$2:E$1000)+COUNTA('C'!E$2:E$1000)+COUNTA(A!E$2:E$1000)=0,C45,ROUND(C45*MAX(0.1,IFERROR(Dashboard!B$3/Dashboard!B$10,1))*(1+Dashboard!F$6*IF(B45="Occ",0.5,IF(B45="Pun",0.35,IF(B45="Tit",0.25,IF(B45="Scm",0.15,0.05)))))*IF(OR(B45="Occ",B45="Pun"),Dashboard!V$6,IF(B45="Tit",Dashboard!W$6,Dashboard!X$6)),0)))</f>
        <v>1</v>
      </c>
      <c r="G45" s="89"/>
      <c r="I45" s="124"/>
      <c r="T45" s="88"/>
      <c r="U45" s="88"/>
      <c r="V45" s="88"/>
      <c r="W45" s="88"/>
    </row>
    <row r="46" spans="1:23">
      <c r="A46" s="155" t="s">
        <v>86</v>
      </c>
      <c r="B46" s="99" t="s">
        <v>41</v>
      </c>
      <c r="C46" s="130">
        <v>1</v>
      </c>
      <c r="D46" s="78" t="s">
        <v>9</v>
      </c>
      <c r="E46" s="103"/>
      <c r="F46" s="122">
        <f>IF(D46&lt;&gt;"L","-",IF(COUNTA(P!E$2:E$1000)+COUNTA(D!E$2:E$1000)+COUNTA('C'!E$2:E$1000)+COUNTA(A!E$2:E$1000)=0,C46,ROUND(C46*MAX(0.1,IFERROR(Dashboard!B$3/Dashboard!B$10,1))*(1+Dashboard!F$6*IF(B46="Occ",0.5,IF(B46="Pun",0.35,IF(B46="Tit",0.25,IF(B46="Scm",0.15,0.05)))))*IF(OR(B46="Occ",B46="Pun"),Dashboard!V$6,IF(B46="Tit",Dashboard!W$6,Dashboard!X$6)),0)))</f>
        <v>1</v>
      </c>
      <c r="G46" s="89"/>
      <c r="T46" s="88"/>
      <c r="U46" s="88"/>
      <c r="V46" s="88"/>
      <c r="W46" s="88"/>
    </row>
    <row r="47" spans="1:23">
      <c r="A47" s="155" t="s">
        <v>87</v>
      </c>
      <c r="B47" s="99" t="s">
        <v>41</v>
      </c>
      <c r="C47" s="130">
        <v>1</v>
      </c>
      <c r="D47" s="78" t="s">
        <v>9</v>
      </c>
      <c r="E47" s="103"/>
      <c r="F47" s="122">
        <f>IF(D47&lt;&gt;"L","-",IF(COUNTA(P!E$2:E$1000)+COUNTA(D!E$2:E$1000)+COUNTA('C'!E$2:E$1000)+COUNTA(A!E$2:E$1000)=0,C47,ROUND(C47*MAX(0.1,IFERROR(Dashboard!B$3/Dashboard!B$10,1))*(1+Dashboard!F$6*IF(B47="Occ",0.5,IF(B47="Pun",0.35,IF(B47="Tit",0.25,IF(B47="Scm",0.15,0.05)))))*IF(OR(B47="Occ",B47="Pun"),Dashboard!V$6,IF(B47="Tit",Dashboard!W$6,Dashboard!X$6)),0)))</f>
        <v>1</v>
      </c>
      <c r="G47" s="89"/>
      <c r="I47" s="124"/>
      <c r="T47" s="88"/>
      <c r="U47" s="88"/>
      <c r="V47" s="88"/>
      <c r="W47" s="88"/>
    </row>
    <row r="48" spans="1:23">
      <c r="A48" s="156" t="s">
        <v>88</v>
      </c>
      <c r="B48" s="93" t="s">
        <v>23</v>
      </c>
      <c r="C48" s="130">
        <v>4</v>
      </c>
      <c r="D48" s="78" t="s">
        <v>9</v>
      </c>
      <c r="E48" s="103"/>
      <c r="F48" s="122">
        <f>IF(D48&lt;&gt;"L","-",IF(COUNTA(P!E$2:E$1000)+COUNTA(D!E$2:E$1000)+COUNTA('C'!E$2:E$1000)+COUNTA(A!E$2:E$1000)=0,C48,ROUND(C48*MAX(0.1,IFERROR(Dashboard!B$3/Dashboard!B$10,1))*(1+Dashboard!F$6*IF(B48="Occ",0.5,IF(B48="Pun",0.35,IF(B48="Tit",0.25,IF(B48="Scm",0.15,0.05)))))*IF(OR(B48="Occ",B48="Pun"),Dashboard!V$6,IF(B48="Tit",Dashboard!W$6,Dashboard!X$6)),0)))</f>
        <v>4</v>
      </c>
      <c r="G48" s="89" t="s">
        <v>89</v>
      </c>
      <c r="I48" s="124"/>
      <c r="M48" s="124"/>
      <c r="T48" s="88"/>
      <c r="U48" s="88"/>
      <c r="V48" s="88"/>
      <c r="W48" s="88"/>
    </row>
    <row r="49" spans="1:23">
      <c r="A49" s="155" t="s">
        <v>90</v>
      </c>
      <c r="B49" s="99" t="s">
        <v>41</v>
      </c>
      <c r="C49" s="130">
        <v>1</v>
      </c>
      <c r="D49" s="78" t="s">
        <v>9</v>
      </c>
      <c r="E49" s="103"/>
      <c r="F49" s="122">
        <f>IF(D49&lt;&gt;"L","-",IF(COUNTA(P!E$2:E$1000)+COUNTA(D!E$2:E$1000)+COUNTA('C'!E$2:E$1000)+COUNTA(A!E$2:E$1000)=0,C49,ROUND(C49*MAX(0.1,IFERROR(Dashboard!B$3/Dashboard!B$10,1))*(1+Dashboard!F$6*IF(B49="Occ",0.5,IF(B49="Pun",0.35,IF(B49="Tit",0.25,IF(B49="Scm",0.15,0.05)))))*IF(OR(B49="Occ",B49="Pun"),Dashboard!V$6,IF(B49="Tit",Dashboard!W$6,Dashboard!X$6)),0)))</f>
        <v>1</v>
      </c>
      <c r="G49" s="89"/>
      <c r="T49" s="88"/>
      <c r="U49" s="88"/>
      <c r="V49" s="88"/>
      <c r="W49" s="88"/>
    </row>
    <row r="50" spans="1:23">
      <c r="A50" s="156" t="s">
        <v>91</v>
      </c>
      <c r="B50" s="91" t="s">
        <v>8</v>
      </c>
      <c r="C50" s="130">
        <v>5</v>
      </c>
      <c r="D50" s="78" t="s">
        <v>9</v>
      </c>
      <c r="E50" s="103"/>
      <c r="F50" s="122">
        <f>IF(D50&lt;&gt;"L","-",IF(COUNTA(P!E$2:E$1000)+COUNTA(D!E$2:E$1000)+COUNTA('C'!E$2:E$1000)+COUNTA(A!E$2:E$1000)=0,C50,ROUND(C50*MAX(0.1,IFERROR(Dashboard!B$3/Dashboard!B$10,1))*(1+Dashboard!F$6*IF(B50="Occ",0.5,IF(B50="Pun",0.35,IF(B50="Tit",0.25,IF(B50="Scm",0.15,0.05)))))*IF(OR(B50="Occ",B50="Pun"),Dashboard!V$6,IF(B50="Tit",Dashboard!W$6,Dashboard!X$6)),0)))</f>
        <v>5</v>
      </c>
      <c r="G50" s="89" t="s">
        <v>92</v>
      </c>
      <c r="L50" s="136"/>
      <c r="M50" s="124"/>
      <c r="R50" s="124"/>
      <c r="T50" s="88"/>
      <c r="U50" s="88"/>
      <c r="V50" s="88"/>
      <c r="W50" s="88"/>
    </row>
    <row r="51" spans="1:23">
      <c r="A51" s="156" t="s">
        <v>93</v>
      </c>
      <c r="B51" s="92" t="s">
        <v>13</v>
      </c>
      <c r="C51" s="129">
        <v>8</v>
      </c>
      <c r="D51" s="78" t="s">
        <v>9</v>
      </c>
      <c r="E51" s="103"/>
      <c r="F51" s="122">
        <f>IF(D51&lt;&gt;"L","-",IF(COUNTA(P!E$2:E$1000)+COUNTA(D!E$2:E$1000)+COUNTA('C'!E$2:E$1000)+COUNTA(A!E$2:E$1000)=0,C51,ROUND(C51*MAX(0.1,IFERROR(Dashboard!B$3/Dashboard!B$10,1))*(1+Dashboard!F$6*IF(B51="Occ",0.5,IF(B51="Pun",0.35,IF(B51="Tit",0.25,IF(B51="Scm",0.15,0.05)))))*IF(OR(B51="Occ",B51="Pun"),Dashboard!V$6,IF(B51="Tit",Dashboard!W$6,Dashboard!X$6)),0)))</f>
        <v>8</v>
      </c>
      <c r="G51" s="89"/>
      <c r="I51" s="124"/>
      <c r="J51" s="124"/>
      <c r="N51" s="124"/>
      <c r="R51" s="124"/>
      <c r="T51" s="88"/>
      <c r="U51" s="88"/>
      <c r="V51" s="88"/>
      <c r="W51" s="88"/>
    </row>
    <row r="52" spans="1:23">
      <c r="A52" s="155" t="s">
        <v>94</v>
      </c>
      <c r="B52" s="91" t="s">
        <v>8</v>
      </c>
      <c r="C52" s="130">
        <v>4</v>
      </c>
      <c r="D52" s="78" t="s">
        <v>9</v>
      </c>
      <c r="E52" s="103"/>
      <c r="F52" s="122">
        <f>IF(D52&lt;&gt;"L","-",IF(COUNTA(P!E$2:E$1000)+COUNTA(D!E$2:E$1000)+COUNTA('C'!E$2:E$1000)+COUNTA(A!E$2:E$1000)=0,C52,ROUND(C52*MAX(0.1,IFERROR(Dashboard!B$3/Dashboard!B$10,1))*(1+Dashboard!F$6*IF(B52="Occ",0.5,IF(B52="Pun",0.35,IF(B52="Tit",0.25,IF(B52="Scm",0.15,0.05)))))*IF(OR(B52="Occ",B52="Pun"),Dashboard!V$6,IF(B52="Tit",Dashboard!W$6,Dashboard!X$6)),0)))</f>
        <v>4</v>
      </c>
      <c r="G52" s="89"/>
      <c r="I52" s="124"/>
      <c r="R52" s="124"/>
      <c r="T52" s="88"/>
      <c r="U52" s="88"/>
      <c r="V52" s="88"/>
      <c r="W52" s="88"/>
    </row>
    <row r="53" spans="1:23">
      <c r="A53" s="155" t="s">
        <v>95</v>
      </c>
      <c r="B53" s="99" t="s">
        <v>41</v>
      </c>
      <c r="C53" s="129">
        <v>2</v>
      </c>
      <c r="D53" s="78" t="s">
        <v>9</v>
      </c>
      <c r="E53" s="103"/>
      <c r="F53" s="122">
        <f>IF(D53&lt;&gt;"L","-",IF(COUNTA(P!E$2:E$1000)+COUNTA(D!E$2:E$1000)+COUNTA('C'!E$2:E$1000)+COUNTA(A!E$2:E$1000)=0,C53,ROUND(C53*MAX(0.1,IFERROR(Dashboard!B$3/Dashboard!B$10,1))*(1+Dashboard!F$6*IF(B53="Occ",0.5,IF(B53="Pun",0.35,IF(B53="Tit",0.25,IF(B53="Scm",0.15,0.05)))))*IF(OR(B53="Occ",B53="Pun"),Dashboard!V$6,IF(B53="Tit",Dashboard!W$6,Dashboard!X$6)),0)))</f>
        <v>2</v>
      </c>
      <c r="G53" s="89"/>
      <c r="J53" s="124"/>
      <c r="M53" s="124"/>
      <c r="N53" s="124"/>
      <c r="T53" s="88"/>
      <c r="U53" s="88"/>
      <c r="V53" s="88"/>
      <c r="W53" s="88"/>
    </row>
    <row r="54" spans="1:23">
      <c r="A54" s="155" t="s">
        <v>96</v>
      </c>
      <c r="B54" s="94" t="s">
        <v>15</v>
      </c>
      <c r="C54" s="129">
        <v>1</v>
      </c>
      <c r="D54" s="78" t="s">
        <v>9</v>
      </c>
      <c r="E54" s="103"/>
      <c r="F54" s="122">
        <f>IF(D54&lt;&gt;"L","-",IF(COUNTA(P!E$2:E$1000)+COUNTA(D!E$2:E$1000)+COUNTA('C'!E$2:E$1000)+COUNTA(A!E$2:E$1000)=0,C54,ROUND(C54*MAX(0.1,IFERROR(Dashboard!B$3/Dashboard!B$10,1))*(1+Dashboard!F$6*IF(B54="Occ",0.5,IF(B54="Pun",0.35,IF(B54="Tit",0.25,IF(B54="Scm",0.15,0.05)))))*IF(OR(B54="Occ",B54="Pun"),Dashboard!V$6,IF(B54="Tit",Dashboard!W$6,Dashboard!X$6)),0)))</f>
        <v>1</v>
      </c>
      <c r="G54" s="89"/>
      <c r="I54" s="124"/>
      <c r="J54" s="124"/>
      <c r="N54" s="124"/>
      <c r="T54" s="88"/>
      <c r="U54" s="88"/>
      <c r="V54" s="88"/>
      <c r="W54" s="88"/>
    </row>
    <row r="55" spans="1:23">
      <c r="A55" s="155" t="s">
        <v>97</v>
      </c>
      <c r="B55" s="94" t="s">
        <v>15</v>
      </c>
      <c r="C55" s="129">
        <v>1</v>
      </c>
      <c r="D55" s="78" t="s">
        <v>9</v>
      </c>
      <c r="E55" s="103"/>
      <c r="F55" s="122">
        <f>IF(D55&lt;&gt;"L","-",IF(COUNTA(P!E$2:E$1000)+COUNTA(D!E$2:E$1000)+COUNTA('C'!E$2:E$1000)+COUNTA(A!E$2:E$1000)=0,C55,ROUND(C55*MAX(0.1,IFERROR(Dashboard!B$3/Dashboard!B$10,1))*(1+Dashboard!F$6*IF(B55="Occ",0.5,IF(B55="Pun",0.35,IF(B55="Tit",0.25,IF(B55="Scm",0.15,0.05)))))*IF(OR(B55="Occ",B55="Pun"),Dashboard!V$6,IF(B55="Tit",Dashboard!W$6,Dashboard!X$6)),0)))</f>
        <v>1</v>
      </c>
      <c r="G55" s="89"/>
      <c r="J55" s="124"/>
      <c r="M55" s="124"/>
      <c r="N55" s="124"/>
      <c r="T55" s="88"/>
      <c r="U55" s="88"/>
      <c r="V55" s="88"/>
      <c r="W55" s="88"/>
    </row>
    <row r="56" spans="1:23">
      <c r="A56" s="155" t="s">
        <v>98</v>
      </c>
      <c r="B56" s="99" t="s">
        <v>41</v>
      </c>
      <c r="C56" s="130">
        <v>1</v>
      </c>
      <c r="D56" s="78" t="s">
        <v>9</v>
      </c>
      <c r="E56" s="103"/>
      <c r="F56" s="122">
        <f>IF(D56&lt;&gt;"L","-",IF(COUNTA(P!E$2:E$1000)+COUNTA(D!E$2:E$1000)+COUNTA('C'!E$2:E$1000)+COUNTA(A!E$2:E$1000)=0,C56,ROUND(C56*MAX(0.1,IFERROR(Dashboard!B$3/Dashboard!B$10,1))*(1+Dashboard!F$6*IF(B56="Occ",0.5,IF(B56="Pun",0.35,IF(B56="Tit",0.25,IF(B56="Scm",0.15,0.05)))))*IF(OR(B56="Occ",B56="Pun"),Dashboard!V$6,IF(B56="Tit",Dashboard!W$6,Dashboard!X$6)),0)))</f>
        <v>1</v>
      </c>
      <c r="G56" s="89"/>
      <c r="T56" s="88"/>
      <c r="U56" s="88"/>
      <c r="V56" s="88"/>
      <c r="W56" s="88"/>
    </row>
    <row r="57" spans="1:23">
      <c r="A57" s="155" t="s">
        <v>99</v>
      </c>
      <c r="B57" s="94" t="s">
        <v>15</v>
      </c>
      <c r="C57" s="130">
        <v>1</v>
      </c>
      <c r="D57" s="78" t="s">
        <v>9</v>
      </c>
      <c r="E57" s="103"/>
      <c r="F57" s="122">
        <f>IF(D57&lt;&gt;"L","-",IF(COUNTA(P!E$2:E$1000)+COUNTA(D!E$2:E$1000)+COUNTA('C'!E$2:E$1000)+COUNTA(A!E$2:E$1000)=0,C57,ROUND(C57*MAX(0.1,IFERROR(Dashboard!B$3/Dashboard!B$10,1))*(1+Dashboard!F$6*IF(B57="Occ",0.5,IF(B57="Pun",0.35,IF(B57="Tit",0.25,IF(B57="Scm",0.15,0.05)))))*IF(OR(B57="Occ",B57="Pun"),Dashboard!V$6,IF(B57="Tit",Dashboard!W$6,Dashboard!X$6)),0)))</f>
        <v>1</v>
      </c>
      <c r="G57" s="89"/>
      <c r="I57" s="124"/>
      <c r="L57" s="136"/>
      <c r="M57" s="124"/>
      <c r="T57" s="88"/>
      <c r="U57" s="88"/>
      <c r="V57" s="88"/>
      <c r="W57" s="88"/>
    </row>
    <row r="58" spans="1:23">
      <c r="A58" s="155" t="s">
        <v>100</v>
      </c>
      <c r="B58" s="94" t="s">
        <v>15</v>
      </c>
      <c r="C58" s="130">
        <v>1</v>
      </c>
      <c r="D58" s="78" t="s">
        <v>9</v>
      </c>
      <c r="E58" s="103"/>
      <c r="F58" s="122">
        <f>IF(D58&lt;&gt;"L","-",IF(COUNTA(P!E$2:E$1000)+COUNTA(D!E$2:E$1000)+COUNTA('C'!E$2:E$1000)+COUNTA(A!E$2:E$1000)=0,C58,ROUND(C58*MAX(0.1,IFERROR(Dashboard!B$3/Dashboard!B$10,1))*(1+Dashboard!F$6*IF(B58="Occ",0.5,IF(B58="Pun",0.35,IF(B58="Tit",0.25,IF(B58="Scm",0.15,0.05)))))*IF(OR(B58="Occ",B58="Pun"),Dashboard!V$6,IF(B58="Tit",Dashboard!W$6,Dashboard!X$6)),0)))</f>
        <v>1</v>
      </c>
      <c r="G58" s="89"/>
      <c r="M58" s="124"/>
      <c r="T58" s="88"/>
      <c r="U58" s="88"/>
      <c r="V58" s="88"/>
      <c r="W58" s="88"/>
    </row>
    <row r="59" spans="1:23">
      <c r="A59" s="155" t="s">
        <v>101</v>
      </c>
      <c r="B59" s="94" t="s">
        <v>15</v>
      </c>
      <c r="C59" s="130">
        <v>1</v>
      </c>
      <c r="D59" s="78" t="s">
        <v>9</v>
      </c>
      <c r="E59" s="103"/>
      <c r="F59" s="122">
        <f>IF(D59&lt;&gt;"L","-",IF(COUNTA(P!E$2:E$1000)+COUNTA(D!E$2:E$1000)+COUNTA('C'!E$2:E$1000)+COUNTA(A!E$2:E$1000)=0,C59,ROUND(C59*MAX(0.1,IFERROR(Dashboard!B$3/Dashboard!B$10,1))*(1+Dashboard!F$6*IF(B59="Occ",0.5,IF(B59="Pun",0.35,IF(B59="Tit",0.25,IF(B59="Scm",0.15,0.05)))))*IF(OR(B59="Occ",B59="Pun"),Dashboard!V$6,IF(B59="Tit",Dashboard!W$6,Dashboard!X$6)),0)))</f>
        <v>1</v>
      </c>
      <c r="G59" s="89"/>
      <c r="T59" s="88"/>
      <c r="U59" s="88"/>
      <c r="V59" s="88"/>
      <c r="W59" s="88"/>
    </row>
    <row r="60" spans="1:23">
      <c r="A60" s="155" t="s">
        <v>102</v>
      </c>
      <c r="B60" s="99" t="s">
        <v>41</v>
      </c>
      <c r="C60" s="129">
        <v>1</v>
      </c>
      <c r="D60" s="78" t="s">
        <v>9</v>
      </c>
      <c r="E60" s="103"/>
      <c r="F60" s="122">
        <f>IF(D60&lt;&gt;"L","-",IF(COUNTA(P!E$2:E$1000)+COUNTA(D!E$2:E$1000)+COUNTA('C'!E$2:E$1000)+COUNTA(A!E$2:E$1000)=0,C60,ROUND(C60*MAX(0.1,IFERROR(Dashboard!B$3/Dashboard!B$10,1))*(1+Dashboard!F$6*IF(B60="Occ",0.5,IF(B60="Pun",0.35,IF(B60="Tit",0.25,IF(B60="Scm",0.15,0.05)))))*IF(OR(B60="Occ",B60="Pun"),Dashboard!V$6,IF(B60="Tit",Dashboard!W$6,Dashboard!X$6)),0)))</f>
        <v>1</v>
      </c>
      <c r="G60" s="89"/>
      <c r="J60" s="124"/>
      <c r="T60" s="88"/>
      <c r="U60" s="88"/>
      <c r="V60" s="88"/>
      <c r="W60" s="88"/>
    </row>
    <row r="61" spans="1:23">
      <c r="A61" s="155" t="s">
        <v>103</v>
      </c>
      <c r="B61" s="99" t="s">
        <v>41</v>
      </c>
      <c r="C61" s="129">
        <v>1</v>
      </c>
      <c r="D61" s="78" t="s">
        <v>9</v>
      </c>
      <c r="E61" s="103"/>
      <c r="F61" s="122">
        <f>IF(D61&lt;&gt;"L","-",IF(COUNTA(P!E$2:E$1000)+COUNTA(D!E$2:E$1000)+COUNTA('C'!E$2:E$1000)+COUNTA(A!E$2:E$1000)=0,C61,ROUND(C61*MAX(0.1,IFERROR(Dashboard!B$3/Dashboard!B$10,1))*(1+Dashboard!F$6*IF(B61="Occ",0.5,IF(B61="Pun",0.35,IF(B61="Tit",0.25,IF(B61="Scm",0.15,0.05)))))*IF(OR(B61="Occ",B61="Pun"),Dashboard!V$6,IF(B61="Tit",Dashboard!W$6,Dashboard!X$6)),0)))</f>
        <v>1</v>
      </c>
      <c r="G61" s="89"/>
      <c r="I61" s="124"/>
      <c r="J61" s="124"/>
      <c r="T61" s="88"/>
      <c r="U61" s="88"/>
      <c r="V61" s="88"/>
      <c r="W61" s="88"/>
    </row>
    <row r="62" spans="1:23">
      <c r="A62" s="155" t="s">
        <v>104</v>
      </c>
      <c r="B62" s="92" t="s">
        <v>13</v>
      </c>
      <c r="C62" s="130">
        <v>8</v>
      </c>
      <c r="D62" s="78" t="s">
        <v>9</v>
      </c>
      <c r="E62" s="103"/>
      <c r="F62" s="122">
        <f>IF(D62&lt;&gt;"L","-",IF(COUNTA(P!E$2:E$1000)+COUNTA(D!E$2:E$1000)+COUNTA('C'!E$2:E$1000)+COUNTA(A!E$2:E$1000)=0,C62,ROUND(C62*MAX(0.1,IFERROR(Dashboard!B$3/Dashboard!B$10,1))*(1+Dashboard!F$6*IF(B62="Occ",0.5,IF(B62="Pun",0.35,IF(B62="Tit",0.25,IF(B62="Scm",0.15,0.05)))))*IF(OR(B62="Occ",B62="Pun"),Dashboard!V$6,IF(B62="Tit",Dashboard!W$6,Dashboard!X$6)),0)))</f>
        <v>8</v>
      </c>
      <c r="G62" s="89"/>
      <c r="I62" s="124"/>
      <c r="N62" s="124"/>
      <c r="R62" s="124"/>
      <c r="T62" s="88"/>
      <c r="U62" s="88"/>
      <c r="V62" s="88"/>
      <c r="W62" s="88"/>
    </row>
    <row r="63" spans="1:23">
      <c r="A63" s="155" t="s">
        <v>105</v>
      </c>
      <c r="B63" s="91" t="s">
        <v>8</v>
      </c>
      <c r="C63" s="130">
        <v>3</v>
      </c>
      <c r="D63" s="78" t="s">
        <v>9</v>
      </c>
      <c r="E63" s="103"/>
      <c r="F63" s="122">
        <f>IF(D63&lt;&gt;"L","-",IF(COUNTA(P!E$2:E$1000)+COUNTA(D!E$2:E$1000)+COUNTA('C'!E$2:E$1000)+COUNTA(A!E$2:E$1000)=0,C63,ROUND(C63*MAX(0.1,IFERROR(Dashboard!B$3/Dashboard!B$10,1))*(1+Dashboard!F$6*IF(B63="Occ",0.5,IF(B63="Pun",0.35,IF(B63="Tit",0.25,IF(B63="Scm",0.15,0.05)))))*IF(OR(B63="Occ",B63="Pun"),Dashboard!V$6,IF(B63="Tit",Dashboard!W$6,Dashboard!X$6)),0)))</f>
        <v>3</v>
      </c>
      <c r="G63" s="89"/>
      <c r="I63" s="124"/>
      <c r="N63" s="124"/>
      <c r="R63" s="124"/>
      <c r="T63" s="88"/>
      <c r="U63" s="88"/>
      <c r="V63" s="88"/>
      <c r="W63" s="88"/>
    </row>
    <row r="64" spans="1:23">
      <c r="A64" s="155" t="s">
        <v>106</v>
      </c>
      <c r="B64" s="99" t="s">
        <v>41</v>
      </c>
      <c r="C64" s="130">
        <v>1</v>
      </c>
      <c r="D64" s="78" t="s">
        <v>9</v>
      </c>
      <c r="E64" s="103"/>
      <c r="F64" s="122">
        <f>IF(D64&lt;&gt;"L","-",IF(COUNTA(P!E$2:E$1000)+COUNTA(D!E$2:E$1000)+COUNTA('C'!E$2:E$1000)+COUNTA(A!E$2:E$1000)=0,C64,ROUND(C64*MAX(0.1,IFERROR(Dashboard!B$3/Dashboard!B$10,1))*(1+Dashboard!F$6*IF(B64="Occ",0.5,IF(B64="Pun",0.35,IF(B64="Tit",0.25,IF(B64="Scm",0.15,0.05)))))*IF(OR(B64="Occ",B64="Pun"),Dashboard!V$6,IF(B64="Tit",Dashboard!W$6,Dashboard!X$6)),0)))</f>
        <v>1</v>
      </c>
      <c r="G64" s="89"/>
      <c r="T64" s="88"/>
      <c r="U64" s="88"/>
      <c r="V64" s="88"/>
      <c r="W64" s="88"/>
    </row>
    <row r="65" spans="1:23">
      <c r="A65" s="155" t="s">
        <v>107</v>
      </c>
      <c r="B65" s="99" t="s">
        <v>41</v>
      </c>
      <c r="C65" s="129">
        <v>2</v>
      </c>
      <c r="D65" s="78" t="s">
        <v>9</v>
      </c>
      <c r="E65" s="103"/>
      <c r="F65" s="122">
        <f>IF(D65&lt;&gt;"L","-",IF(COUNTA(P!E$2:E$1000)+COUNTA(D!E$2:E$1000)+COUNTA('C'!E$2:E$1000)+COUNTA(A!E$2:E$1000)=0,C65,ROUND(C65*MAX(0.1,IFERROR(Dashboard!B$3/Dashboard!B$10,1))*(1+Dashboard!F$6*IF(B65="Occ",0.5,IF(B65="Pun",0.35,IF(B65="Tit",0.25,IF(B65="Scm",0.15,0.05)))))*IF(OR(B65="Occ",B65="Pun"),Dashboard!V$6,IF(B65="Tit",Dashboard!W$6,Dashboard!X$6)),0)))</f>
        <v>2</v>
      </c>
      <c r="G65" s="89"/>
      <c r="J65" s="124"/>
      <c r="T65" s="88"/>
      <c r="U65" s="88"/>
      <c r="V65" s="88"/>
      <c r="W65" s="88"/>
    </row>
    <row r="66" spans="1:23">
      <c r="A66" s="155" t="s">
        <v>108</v>
      </c>
      <c r="B66" s="91" t="s">
        <v>8</v>
      </c>
      <c r="C66" s="129">
        <v>5</v>
      </c>
      <c r="D66" s="78" t="s">
        <v>9</v>
      </c>
      <c r="E66" s="103"/>
      <c r="F66" s="122">
        <f>IF(D66&lt;&gt;"L","-",IF(COUNTA(P!E$2:E$1000)+COUNTA(D!E$2:E$1000)+COUNTA('C'!E$2:E$1000)+COUNTA(A!E$2:E$1000)=0,C66,ROUND(C66*MAX(0.1,IFERROR(Dashboard!B$3/Dashboard!B$10,1))*(1+Dashboard!F$6*IF(B66="Occ",0.5,IF(B66="Pun",0.35,IF(B66="Tit",0.25,IF(B66="Scm",0.15,0.05)))))*IF(OR(B66="Occ",B66="Pun"),Dashboard!V$6,IF(B66="Tit",Dashboard!W$6,Dashboard!X$6)),0)))</f>
        <v>5</v>
      </c>
      <c r="G66" s="89"/>
      <c r="J66" s="124"/>
      <c r="N66" s="124"/>
      <c r="R66" s="124"/>
      <c r="T66" s="88"/>
      <c r="U66" s="88"/>
      <c r="V66" s="88"/>
      <c r="W66" s="88"/>
    </row>
    <row r="67" spans="1:23">
      <c r="A67" s="155" t="s">
        <v>109</v>
      </c>
      <c r="B67" s="93" t="s">
        <v>23</v>
      </c>
      <c r="C67" s="130">
        <v>1</v>
      </c>
      <c r="D67" s="78" t="s">
        <v>9</v>
      </c>
      <c r="E67" s="103"/>
      <c r="F67" s="122">
        <f>IF(D67&lt;&gt;"L","-",IF(COUNTA(P!E$2:E$1000)+COUNTA(D!E$2:E$1000)+COUNTA('C'!E$2:E$1000)+COUNTA(A!E$2:E$1000)=0,C67,ROUND(C67*MAX(0.1,IFERROR(Dashboard!B$3/Dashboard!B$10,1))*(1+Dashboard!F$6*IF(B67="Occ",0.5,IF(B67="Pun",0.35,IF(B67="Tit",0.25,IF(B67="Scm",0.15,0.05)))))*IF(OR(B67="Occ",B67="Pun"),Dashboard!V$6,IF(B67="Tit",Dashboard!W$6,Dashboard!X$6)),0)))</f>
        <v>1</v>
      </c>
      <c r="G67" s="89"/>
      <c r="I67" s="124"/>
      <c r="T67" s="88"/>
      <c r="U67" s="88"/>
      <c r="V67" s="88"/>
      <c r="W67" s="88"/>
    </row>
    <row r="68" spans="1:23">
      <c r="A68" s="155" t="s">
        <v>110</v>
      </c>
      <c r="B68" s="92" t="s">
        <v>13</v>
      </c>
      <c r="C68" s="129">
        <v>12</v>
      </c>
      <c r="D68" s="78" t="s">
        <v>9</v>
      </c>
      <c r="E68" s="103"/>
      <c r="F68" s="122">
        <f>IF(D68&lt;&gt;"L","-",IF(COUNTA(P!E$2:E$1000)+COUNTA(D!E$2:E$1000)+COUNTA('C'!E$2:E$1000)+COUNTA(A!E$2:E$1000)=0,C68,ROUND(C68*MAX(0.1,IFERROR(Dashboard!B$3/Dashboard!B$10,1))*(1+Dashboard!F$6*IF(B68="Occ",0.5,IF(B68="Pun",0.35,IF(B68="Tit",0.25,IF(B68="Scm",0.15,0.05)))))*IF(OR(B68="Occ",B68="Pun"),Dashboard!V$6,IF(B68="Tit",Dashboard!W$6,Dashboard!X$6)),0)))</f>
        <v>12</v>
      </c>
      <c r="G68" s="89"/>
      <c r="J68" s="124"/>
      <c r="N68" s="124"/>
      <c r="R68" s="124"/>
      <c r="T68" s="88"/>
      <c r="U68" s="88"/>
      <c r="V68" s="88"/>
      <c r="W68" s="88"/>
    </row>
    <row r="69" spans="1:23">
      <c r="A69" s="155" t="s">
        <v>111</v>
      </c>
      <c r="B69" s="94" t="s">
        <v>15</v>
      </c>
      <c r="C69" s="130">
        <v>1</v>
      </c>
      <c r="D69" s="78" t="s">
        <v>9</v>
      </c>
      <c r="E69" s="103"/>
      <c r="F69" s="122">
        <f>IF(D69&lt;&gt;"L","-",IF(COUNTA(P!E$2:E$1000)+COUNTA(D!E$2:E$1000)+COUNTA('C'!E$2:E$1000)+COUNTA(A!E$2:E$1000)=0,C69,ROUND(C69*MAX(0.1,IFERROR(Dashboard!B$3/Dashboard!B$10,1))*(1+Dashboard!F$6*IF(B69="Occ",0.5,IF(B69="Pun",0.35,IF(B69="Tit",0.25,IF(B69="Scm",0.15,0.05)))))*IF(OR(B69="Occ",B69="Pun"),Dashboard!V$6,IF(B69="Tit",Dashboard!W$6,Dashboard!X$6)),0)))</f>
        <v>1</v>
      </c>
      <c r="G69" s="89"/>
      <c r="T69" s="88"/>
      <c r="U69" s="88"/>
      <c r="V69" s="88"/>
      <c r="W69" s="88"/>
    </row>
    <row r="70" spans="1:23">
      <c r="A70" s="155" t="s">
        <v>112</v>
      </c>
      <c r="B70" s="92" t="s">
        <v>13</v>
      </c>
      <c r="C70" s="130">
        <v>6</v>
      </c>
      <c r="D70" s="78" t="s">
        <v>9</v>
      </c>
      <c r="E70" s="103"/>
      <c r="F70" s="122">
        <f>IF(D70&lt;&gt;"L","-",IF(COUNTA(P!E$2:E$1000)+COUNTA(D!E$2:E$1000)+COUNTA('C'!E$2:E$1000)+COUNTA(A!E$2:E$1000)=0,C70,ROUND(C70*MAX(0.1,IFERROR(Dashboard!B$3/Dashboard!B$10,1))*(1+Dashboard!F$6*IF(B70="Occ",0.5,IF(B70="Pun",0.35,IF(B70="Tit",0.25,IF(B70="Scm",0.15,0.05)))))*IF(OR(B70="Occ",B70="Pun"),Dashboard!V$6,IF(B70="Tit",Dashboard!W$6,Dashboard!X$6)),0)))</f>
        <v>6</v>
      </c>
      <c r="G70" s="89"/>
      <c r="N70" s="124"/>
      <c r="R70" s="124"/>
      <c r="T70" s="88"/>
      <c r="U70" s="88"/>
      <c r="V70" s="88"/>
      <c r="W70" s="88"/>
    </row>
    <row r="71" spans="1:23">
      <c r="A71" s="156" t="s">
        <v>113</v>
      </c>
      <c r="B71" s="91" t="s">
        <v>8</v>
      </c>
      <c r="C71" s="129">
        <v>8</v>
      </c>
      <c r="D71" s="78" t="s">
        <v>9</v>
      </c>
      <c r="E71" s="103"/>
      <c r="F71" s="122">
        <f>IF(D71&lt;&gt;"L","-",IF(COUNTA(P!E$2:E$1000)+COUNTA(D!E$2:E$1000)+COUNTA('C'!E$2:E$1000)+COUNTA(A!E$2:E$1000)=0,C71,ROUND(C71*MAX(0.1,IFERROR(Dashboard!B$3/Dashboard!B$10,1))*(1+Dashboard!F$6*IF(B71="Occ",0.5,IF(B71="Pun",0.35,IF(B71="Tit",0.25,IF(B71="Scm",0.15,0.05)))))*IF(OR(B71="Occ",B71="Pun"),Dashboard!V$6,IF(B71="Tit",Dashboard!W$6,Dashboard!X$6)),0)))</f>
        <v>8</v>
      </c>
      <c r="G71" s="89"/>
      <c r="I71" s="124"/>
      <c r="J71" s="124"/>
      <c r="N71" s="124"/>
      <c r="R71" s="124"/>
      <c r="T71" s="88"/>
      <c r="U71" s="88"/>
      <c r="V71" s="88"/>
      <c r="W71" s="88"/>
    </row>
    <row r="72" spans="1:23">
      <c r="A72" s="155" t="s">
        <v>114</v>
      </c>
      <c r="B72" s="99" t="s">
        <v>41</v>
      </c>
      <c r="C72" s="130">
        <v>2</v>
      </c>
      <c r="D72" s="78" t="s">
        <v>9</v>
      </c>
      <c r="E72" s="103"/>
      <c r="F72" s="122">
        <f>IF(D72&lt;&gt;"L","-",IF(COUNTA(P!E$2:E$1000)+COUNTA(D!E$2:E$1000)+COUNTA('C'!E$2:E$1000)+COUNTA(A!E$2:E$1000)=0,C72,ROUND(C72*MAX(0.1,IFERROR(Dashboard!B$3/Dashboard!B$10,1))*(1+Dashboard!F$6*IF(B72="Occ",0.5,IF(B72="Pun",0.35,IF(B72="Tit",0.25,IF(B72="Scm",0.15,0.05)))))*IF(OR(B72="Occ",B72="Pun"),Dashboard!V$6,IF(B72="Tit",Dashboard!W$6,Dashboard!X$6)),0)))</f>
        <v>2</v>
      </c>
      <c r="G72" s="89"/>
      <c r="I72" s="124"/>
      <c r="T72" s="88"/>
      <c r="U72" s="88"/>
      <c r="V72" s="88"/>
      <c r="W72" s="88"/>
    </row>
    <row r="73" spans="1:23">
      <c r="A73" s="155" t="s">
        <v>115</v>
      </c>
      <c r="B73" s="91" t="s">
        <v>8</v>
      </c>
      <c r="C73" s="130">
        <v>4</v>
      </c>
      <c r="D73" s="78" t="s">
        <v>9</v>
      </c>
      <c r="E73" s="103"/>
      <c r="F73" s="122">
        <f>IF(D73&lt;&gt;"L","-",IF(COUNTA(P!E$2:E$1000)+COUNTA(D!E$2:E$1000)+COUNTA('C'!E$2:E$1000)+COUNTA(A!E$2:E$1000)=0,C73,ROUND(C73*MAX(0.1,IFERROR(Dashboard!B$3/Dashboard!B$10,1))*(1+Dashboard!F$6*IF(B73="Occ",0.5,IF(B73="Pun",0.35,IF(B73="Tit",0.25,IF(B73="Scm",0.15,0.05)))))*IF(OR(B73="Occ",B73="Pun"),Dashboard!V$6,IF(B73="Tit",Dashboard!W$6,Dashboard!X$6)),0)))</f>
        <v>4</v>
      </c>
      <c r="G73" s="89" t="s">
        <v>116</v>
      </c>
      <c r="N73" s="124"/>
      <c r="R73" s="124"/>
      <c r="T73" s="88"/>
      <c r="U73" s="88"/>
      <c r="V73" s="88"/>
      <c r="W73" s="88"/>
    </row>
    <row r="74" spans="1:23">
      <c r="A74" s="155" t="s">
        <v>117</v>
      </c>
      <c r="B74" s="93" t="s">
        <v>23</v>
      </c>
      <c r="C74" s="130">
        <v>1</v>
      </c>
      <c r="D74" s="78" t="s">
        <v>9</v>
      </c>
      <c r="E74" s="103"/>
      <c r="F74" s="122">
        <f>IF(D74&lt;&gt;"L","-",IF(COUNTA(P!E$2:E$1000)+COUNTA(D!E$2:E$1000)+COUNTA('C'!E$2:E$1000)+COUNTA(A!E$2:E$1000)=0,C74,ROUND(C74*MAX(0.1,IFERROR(Dashboard!B$3/Dashboard!B$10,1))*(1+Dashboard!F$6*IF(B74="Occ",0.5,IF(B74="Pun",0.35,IF(B74="Tit",0.25,IF(B74="Scm",0.15,0.05)))))*IF(OR(B74="Occ",B74="Pun"),Dashboard!V$6,IF(B74="Tit",Dashboard!W$6,Dashboard!X$6)),0)))</f>
        <v>1</v>
      </c>
      <c r="G74" s="89"/>
      <c r="T74" s="88"/>
      <c r="U74" s="88"/>
      <c r="V74" s="88"/>
      <c r="W74" s="88"/>
    </row>
    <row r="75" spans="1:23">
      <c r="A75" s="155" t="s">
        <v>118</v>
      </c>
      <c r="B75" s="92" t="s">
        <v>13</v>
      </c>
      <c r="C75" s="130">
        <v>1</v>
      </c>
      <c r="D75" s="78" t="s">
        <v>9</v>
      </c>
      <c r="E75" s="103"/>
      <c r="F75" s="122">
        <f>IF(D75&lt;&gt;"L","-",IF(COUNTA(P!E$2:E$1000)+COUNTA(D!E$2:E$1000)+COUNTA('C'!E$2:E$1000)+COUNTA(A!E$2:E$1000)=0,C75,ROUND(C75*MAX(0.1,IFERROR(Dashboard!B$3/Dashboard!B$10,1))*(1+Dashboard!F$6*IF(B75="Occ",0.5,IF(B75="Pun",0.35,IF(B75="Tit",0.25,IF(B75="Scm",0.15,0.05)))))*IF(OR(B75="Occ",B75="Pun"),Dashboard!V$6,IF(B75="Tit",Dashboard!W$6,Dashboard!X$6)),0)))</f>
        <v>1</v>
      </c>
      <c r="G75" s="89" t="s">
        <v>119</v>
      </c>
      <c r="N75" s="124"/>
      <c r="R75" s="124"/>
      <c r="T75" s="88"/>
      <c r="U75" s="88"/>
      <c r="V75" s="88"/>
      <c r="W75" s="88"/>
    </row>
    <row r="76" spans="1:23">
      <c r="A76" s="155" t="s">
        <v>120</v>
      </c>
      <c r="B76" s="91" t="s">
        <v>8</v>
      </c>
      <c r="C76" s="130">
        <v>7</v>
      </c>
      <c r="D76" s="78" t="s">
        <v>9</v>
      </c>
      <c r="E76" s="103"/>
      <c r="F76" s="122">
        <f>IF(D76&lt;&gt;"L","-",IF(COUNTA(P!E$2:E$1000)+COUNTA(D!E$2:E$1000)+COUNTA('C'!E$2:E$1000)+COUNTA(A!E$2:E$1000)=0,C76,ROUND(C76*MAX(0.1,IFERROR(Dashboard!B$3/Dashboard!B$10,1))*(1+Dashboard!F$6*IF(B76="Occ",0.5,IF(B76="Pun",0.35,IF(B76="Tit",0.25,IF(B76="Scm",0.15,0.05)))))*IF(OR(B76="Occ",B76="Pun"),Dashboard!V$6,IF(B76="Tit",Dashboard!W$6,Dashboard!X$6)),0)))</f>
        <v>7</v>
      </c>
      <c r="G76" s="89" t="s">
        <v>121</v>
      </c>
      <c r="I76" s="124"/>
      <c r="N76" s="124"/>
      <c r="R76" s="124"/>
      <c r="T76" s="88"/>
      <c r="U76" s="88"/>
      <c r="V76" s="88"/>
      <c r="W76" s="88"/>
    </row>
    <row r="77" spans="1:23">
      <c r="A77" s="155" t="s">
        <v>122</v>
      </c>
      <c r="B77" s="93" t="s">
        <v>23</v>
      </c>
      <c r="C77" s="130">
        <v>1</v>
      </c>
      <c r="D77" s="78" t="s">
        <v>9</v>
      </c>
      <c r="E77" s="103"/>
      <c r="F77" s="122">
        <f>IF(D77&lt;&gt;"L","-",IF(COUNTA(P!E$2:E$1000)+COUNTA(D!E$2:E$1000)+COUNTA('C'!E$2:E$1000)+COUNTA(A!E$2:E$1000)=0,C77,ROUND(C77*MAX(0.1,IFERROR(Dashboard!B$3/Dashboard!B$10,1))*(1+Dashboard!F$6*IF(B77="Occ",0.5,IF(B77="Pun",0.35,IF(B77="Tit",0.25,IF(B77="Scm",0.15,0.05)))))*IF(OR(B77="Occ",B77="Pun"),Dashboard!V$6,IF(B77="Tit",Dashboard!W$6,Dashboard!X$6)),0)))</f>
        <v>1</v>
      </c>
      <c r="G77" s="89"/>
      <c r="T77" s="88"/>
      <c r="U77" s="88"/>
      <c r="V77" s="88"/>
      <c r="W77" s="88"/>
    </row>
    <row r="78" spans="1:23">
      <c r="A78" s="155" t="s">
        <v>123</v>
      </c>
      <c r="B78" s="94" t="s">
        <v>15</v>
      </c>
      <c r="C78" s="130">
        <v>1</v>
      </c>
      <c r="D78" s="78" t="s">
        <v>9</v>
      </c>
      <c r="E78" s="103"/>
      <c r="F78" s="122">
        <f>IF(D78&lt;&gt;"L","-",IF(COUNTA(P!E$2:E$1000)+COUNTA(D!E$2:E$1000)+COUNTA('C'!E$2:E$1000)+COUNTA(A!E$2:E$1000)=0,C78,ROUND(C78*MAX(0.1,IFERROR(Dashboard!B$3/Dashboard!B$10,1))*(1+Dashboard!F$6*IF(B78="Occ",0.5,IF(B78="Pun",0.35,IF(B78="Tit",0.25,IF(B78="Scm",0.15,0.05)))))*IF(OR(B78="Occ",B78="Pun"),Dashboard!V$6,IF(B78="Tit",Dashboard!W$6,Dashboard!X$6)),0)))</f>
        <v>1</v>
      </c>
      <c r="G78" s="89"/>
      <c r="H78" s="136"/>
      <c r="I78" s="124"/>
      <c r="T78" s="88"/>
      <c r="U78" s="88"/>
      <c r="V78" s="88"/>
      <c r="W78" s="88"/>
    </row>
    <row r="79" spans="1:23">
      <c r="A79" s="155" t="s">
        <v>124</v>
      </c>
      <c r="B79" s="92" t="s">
        <v>13</v>
      </c>
      <c r="C79" s="129">
        <v>10</v>
      </c>
      <c r="D79" s="78" t="s">
        <v>9</v>
      </c>
      <c r="E79" s="103"/>
      <c r="F79" s="122">
        <f>IF(D79&lt;&gt;"L","-",IF(COUNTA(P!E$2:E$1000)+COUNTA(D!E$2:E$1000)+COUNTA('C'!E$2:E$1000)+COUNTA(A!E$2:E$1000)=0,C79,ROUND(C79*MAX(0.1,IFERROR(Dashboard!B$3/Dashboard!B$10,1))*(1+Dashboard!F$6*IF(B79="Occ",0.5,IF(B79="Pun",0.35,IF(B79="Tit",0.25,IF(B79="Scm",0.15,0.05)))))*IF(OR(B79="Occ",B79="Pun"),Dashboard!V$6,IF(B79="Tit",Dashboard!W$6,Dashboard!X$6)),0)))</f>
        <v>10</v>
      </c>
      <c r="G79" s="89"/>
      <c r="J79" s="124"/>
      <c r="N79" s="124"/>
      <c r="R79" s="124"/>
      <c r="T79" s="88"/>
      <c r="U79" s="88"/>
      <c r="V79" s="88"/>
      <c r="W79" s="88"/>
    </row>
    <row r="80" spans="1:23">
      <c r="A80" s="155" t="s">
        <v>125</v>
      </c>
      <c r="B80" s="91" t="s">
        <v>8</v>
      </c>
      <c r="C80" s="130">
        <v>8</v>
      </c>
      <c r="D80" s="78" t="s">
        <v>9</v>
      </c>
      <c r="E80" s="103"/>
      <c r="F80" s="122">
        <f>IF(D80&lt;&gt;"L","-",IF(COUNTA(P!E$2:E$1000)+COUNTA(D!E$2:E$1000)+COUNTA('C'!E$2:E$1000)+COUNTA(A!E$2:E$1000)=0,C80,ROUND(C80*MAX(0.1,IFERROR(Dashboard!B$3/Dashboard!B$10,1))*(1+Dashboard!F$6*IF(B80="Occ",0.5,IF(B80="Pun",0.35,IF(B80="Tit",0.25,IF(B80="Scm",0.15,0.05)))))*IF(OR(B80="Occ",B80="Pun"),Dashboard!V$6,IF(B80="Tit",Dashboard!W$6,Dashboard!X$6)),0)))</f>
        <v>8</v>
      </c>
      <c r="G80" s="89" t="s">
        <v>126</v>
      </c>
      <c r="N80" s="124"/>
      <c r="R80" s="124"/>
      <c r="T80" s="88"/>
      <c r="U80" s="88"/>
      <c r="V80" s="88"/>
      <c r="W80" s="88"/>
    </row>
    <row r="81" spans="1:23">
      <c r="A81" s="155" t="s">
        <v>127</v>
      </c>
      <c r="B81" s="99" t="s">
        <v>41</v>
      </c>
      <c r="C81" s="129">
        <v>1</v>
      </c>
      <c r="D81" s="78" t="s">
        <v>9</v>
      </c>
      <c r="E81" s="103"/>
      <c r="F81" s="122">
        <f>IF(D81&lt;&gt;"L","-",IF(COUNTA(P!E$2:E$1000)+COUNTA(D!E$2:E$1000)+COUNTA('C'!E$2:E$1000)+COUNTA(A!E$2:E$1000)=0,C81,ROUND(C81*MAX(0.1,IFERROR(Dashboard!B$3/Dashboard!B$10,1))*(1+Dashboard!F$6*IF(B81="Occ",0.5,IF(B81="Pun",0.35,IF(B81="Tit",0.25,IF(B81="Scm",0.15,0.05)))))*IF(OR(B81="Occ",B81="Pun"),Dashboard!V$6,IF(B81="Tit",Dashboard!W$6,Dashboard!X$6)),0)))</f>
        <v>1</v>
      </c>
      <c r="G81" s="89"/>
      <c r="I81" s="124"/>
      <c r="J81" s="124"/>
      <c r="T81" s="88"/>
      <c r="U81" s="88"/>
      <c r="V81" s="88"/>
      <c r="W81" s="88"/>
    </row>
    <row r="82" spans="1:23">
      <c r="A82" s="155" t="s">
        <v>128</v>
      </c>
      <c r="B82" s="91" t="s">
        <v>8</v>
      </c>
      <c r="C82" s="129">
        <v>7</v>
      </c>
      <c r="D82" s="78" t="s">
        <v>9</v>
      </c>
      <c r="E82" s="103"/>
      <c r="F82" s="122">
        <f>IF(D82&lt;&gt;"L","-",IF(COUNTA(P!E$2:E$1000)+COUNTA(D!E$2:E$1000)+COUNTA('C'!E$2:E$1000)+COUNTA(A!E$2:E$1000)=0,C82,ROUND(C82*MAX(0.1,IFERROR(Dashboard!B$3/Dashboard!B$10,1))*(1+Dashboard!F$6*IF(B82="Occ",0.5,IF(B82="Pun",0.35,IF(B82="Tit",0.25,IF(B82="Scm",0.15,0.05)))))*IF(OR(B82="Occ",B82="Pun"),Dashboard!V$6,IF(B82="Tit",Dashboard!W$6,Dashboard!X$6)),0)))</f>
        <v>7</v>
      </c>
      <c r="G82" s="89"/>
      <c r="J82" s="124"/>
      <c r="N82" s="124"/>
      <c r="R82" s="124"/>
      <c r="T82" s="88"/>
      <c r="U82" s="88"/>
      <c r="V82" s="88"/>
      <c r="W82" s="88"/>
    </row>
    <row r="83" spans="1:23">
      <c r="A83" s="155" t="s">
        <v>129</v>
      </c>
      <c r="B83" s="99" t="s">
        <v>41</v>
      </c>
      <c r="C83" s="129">
        <v>1</v>
      </c>
      <c r="D83" s="78" t="s">
        <v>9</v>
      </c>
      <c r="E83" s="103"/>
      <c r="F83" s="122">
        <f>IF(D83&lt;&gt;"L","-",IF(COUNTA(P!E$2:E$1000)+COUNTA(D!E$2:E$1000)+COUNTA('C'!E$2:E$1000)+COUNTA(A!E$2:E$1000)=0,C83,ROUND(C83*MAX(0.1,IFERROR(Dashboard!B$3/Dashboard!B$10,1))*(1+Dashboard!F$6*IF(B83="Occ",0.5,IF(B83="Pun",0.35,IF(B83="Tit",0.25,IF(B83="Scm",0.15,0.05)))))*IF(OR(B83="Occ",B83="Pun"),Dashboard!V$6,IF(B83="Tit",Dashboard!W$6,Dashboard!X$6)),0)))</f>
        <v>1</v>
      </c>
      <c r="G83" s="89"/>
      <c r="I83" s="124"/>
      <c r="J83" s="124"/>
      <c r="T83" s="88"/>
      <c r="U83" s="88"/>
      <c r="V83" s="88"/>
      <c r="W83" s="88"/>
    </row>
    <row r="84" spans="1:23">
      <c r="A84" s="155" t="s">
        <v>130</v>
      </c>
      <c r="B84" s="99" t="s">
        <v>41</v>
      </c>
      <c r="C84" s="130">
        <v>3</v>
      </c>
      <c r="D84" s="78" t="s">
        <v>9</v>
      </c>
      <c r="E84" s="103"/>
      <c r="F84" s="122">
        <f>IF(D84&lt;&gt;"L","-",IF(COUNTA(P!E$2:E$1000)+COUNTA(D!E$2:E$1000)+COUNTA('C'!E$2:E$1000)+COUNTA(A!E$2:E$1000)=0,C84,ROUND(C84*MAX(0.1,IFERROR(Dashboard!B$3/Dashboard!B$10,1))*(1+Dashboard!F$6*IF(B84="Occ",0.5,IF(B84="Pun",0.35,IF(B84="Tit",0.25,IF(B84="Scm",0.15,0.05)))))*IF(OR(B84="Occ",B84="Pun"),Dashboard!V$6,IF(B84="Tit",Dashboard!W$6,Dashboard!X$6)),0)))</f>
        <v>3</v>
      </c>
      <c r="G84" s="89"/>
      <c r="T84" s="88"/>
      <c r="U84" s="88"/>
      <c r="V84" s="88"/>
      <c r="W84" s="88"/>
    </row>
    <row r="85" spans="1:23">
      <c r="A85" s="155" t="s">
        <v>131</v>
      </c>
      <c r="B85" s="92" t="s">
        <v>13</v>
      </c>
      <c r="C85" s="130">
        <v>4</v>
      </c>
      <c r="D85" s="78" t="s">
        <v>9</v>
      </c>
      <c r="E85" s="103"/>
      <c r="F85" s="122">
        <f>IF(D85&lt;&gt;"L","-",IF(COUNTA(P!E$2:E$1000)+COUNTA(D!E$2:E$1000)+COUNTA('C'!E$2:E$1000)+COUNTA(A!E$2:E$1000)=0,C85,ROUND(C85*MAX(0.1,IFERROR(Dashboard!B$3/Dashboard!B$10,1))*(1+Dashboard!F$6*IF(B85="Occ",0.5,IF(B85="Pun",0.35,IF(B85="Tit",0.25,IF(B85="Scm",0.15,0.05)))))*IF(OR(B85="Occ",B85="Pun"),Dashboard!V$6,IF(B85="Tit",Dashboard!W$6,Dashboard!X$6)),0)))</f>
        <v>4</v>
      </c>
      <c r="G85" s="89"/>
      <c r="H85" s="136"/>
      <c r="I85" s="124"/>
      <c r="N85" s="124"/>
      <c r="R85" s="124"/>
      <c r="T85" s="88"/>
      <c r="U85" s="88"/>
      <c r="V85" s="88"/>
      <c r="W85" s="88"/>
    </row>
    <row r="86" spans="1:23">
      <c r="A86" s="155" t="s">
        <v>132</v>
      </c>
      <c r="B86" s="94" t="s">
        <v>15</v>
      </c>
      <c r="C86" s="130">
        <v>1</v>
      </c>
      <c r="D86" s="78" t="s">
        <v>9</v>
      </c>
      <c r="E86" s="103"/>
      <c r="F86" s="122">
        <f>IF(D86&lt;&gt;"L","-",IF(COUNTA(P!E$2:E$1000)+COUNTA(D!E$2:E$1000)+COUNTA('C'!E$2:E$1000)+COUNTA(A!E$2:E$1000)=0,C86,ROUND(C86*MAX(0.1,IFERROR(Dashboard!B$3/Dashboard!B$10,1))*(1+Dashboard!F$6*IF(B86="Occ",0.5,IF(B86="Pun",0.35,IF(B86="Tit",0.25,IF(B86="Scm",0.15,0.05)))))*IF(OR(B86="Occ",B86="Pun"),Dashboard!V$6,IF(B86="Tit",Dashboard!W$6,Dashboard!X$6)),0)))</f>
        <v>1</v>
      </c>
      <c r="G86" s="89"/>
      <c r="T86" s="88"/>
      <c r="U86" s="88"/>
      <c r="V86" s="88"/>
      <c r="W86" s="88"/>
    </row>
    <row r="87" spans="1:23">
      <c r="A87" s="155" t="s">
        <v>133</v>
      </c>
      <c r="B87" s="99" t="s">
        <v>41</v>
      </c>
      <c r="C87" s="130">
        <v>1</v>
      </c>
      <c r="D87" s="78" t="s">
        <v>9</v>
      </c>
      <c r="E87" s="103"/>
      <c r="F87" s="122">
        <f>IF(D87&lt;&gt;"L","-",IF(COUNTA(P!E$2:E$1000)+COUNTA(D!E$2:E$1000)+COUNTA('C'!E$2:E$1000)+COUNTA(A!E$2:E$1000)=0,C87,ROUND(C87*MAX(0.1,IFERROR(Dashboard!B$3/Dashboard!B$10,1))*(1+Dashboard!F$6*IF(B87="Occ",0.5,IF(B87="Pun",0.35,IF(B87="Tit",0.25,IF(B87="Scm",0.15,0.05)))))*IF(OR(B87="Occ",B87="Pun"),Dashboard!V$6,IF(B87="Tit",Dashboard!W$6,Dashboard!X$6)),0)))</f>
        <v>1</v>
      </c>
      <c r="G87" s="89"/>
      <c r="T87" s="88"/>
      <c r="U87" s="88"/>
      <c r="V87" s="88"/>
      <c r="W87" s="88"/>
    </row>
    <row r="88" spans="1:23">
      <c r="A88" s="155" t="s">
        <v>134</v>
      </c>
      <c r="B88" s="94" t="s">
        <v>15</v>
      </c>
      <c r="C88" s="129">
        <v>1</v>
      </c>
      <c r="D88" s="78" t="s">
        <v>9</v>
      </c>
      <c r="E88" s="103"/>
      <c r="F88" s="122">
        <f>IF(D88&lt;&gt;"L","-",IF(COUNTA(P!E$2:E$1000)+COUNTA(D!E$2:E$1000)+COUNTA('C'!E$2:E$1000)+COUNTA(A!E$2:E$1000)=0,C88,ROUND(C88*MAX(0.1,IFERROR(Dashboard!B$3/Dashboard!B$10,1))*(1+Dashboard!F$6*IF(B88="Occ",0.5,IF(B88="Pun",0.35,IF(B88="Tit",0.25,IF(B88="Scm",0.15,0.05)))))*IF(OR(B88="Occ",B88="Pun"),Dashboard!V$6,IF(B88="Tit",Dashboard!W$6,Dashboard!X$6)),0)))</f>
        <v>1</v>
      </c>
      <c r="G88" s="89"/>
      <c r="T88" s="88"/>
      <c r="U88" s="88"/>
      <c r="V88" s="88"/>
      <c r="W88" s="88"/>
    </row>
    <row r="89" spans="1:23">
      <c r="A89" s="155" t="s">
        <v>135</v>
      </c>
      <c r="B89" s="91" t="s">
        <v>8</v>
      </c>
      <c r="C89" s="129">
        <v>6</v>
      </c>
      <c r="D89" s="78" t="s">
        <v>9</v>
      </c>
      <c r="E89" s="103"/>
      <c r="F89" s="122">
        <f>IF(D89&lt;&gt;"L","-",IF(COUNTA(P!E$2:E$1000)+COUNTA(D!E$2:E$1000)+COUNTA('C'!E$2:E$1000)+COUNTA(A!E$2:E$1000)=0,C89,ROUND(C89*MAX(0.1,IFERROR(Dashboard!B$3/Dashboard!B$10,1))*(1+Dashboard!F$6*IF(B89="Occ",0.5,IF(B89="Pun",0.35,IF(B89="Tit",0.25,IF(B89="Scm",0.15,0.05)))))*IF(OR(B89="Occ",B89="Pun"),Dashboard!V$6,IF(B89="Tit",Dashboard!W$6,Dashboard!X$6)),0)))</f>
        <v>6</v>
      </c>
      <c r="G89" s="89"/>
      <c r="J89" s="124"/>
      <c r="N89" s="124"/>
      <c r="R89" s="124"/>
      <c r="T89" s="88"/>
      <c r="U89" s="88"/>
      <c r="V89" s="88"/>
      <c r="W89" s="88"/>
    </row>
    <row r="90" spans="1:23">
      <c r="A90" s="155" t="s">
        <v>136</v>
      </c>
      <c r="B90" s="92" t="s">
        <v>13</v>
      </c>
      <c r="C90" s="130">
        <v>11</v>
      </c>
      <c r="D90" s="78" t="s">
        <v>9</v>
      </c>
      <c r="E90" s="103"/>
      <c r="F90" s="122">
        <f>IF(D90&lt;&gt;"L","-",IF(COUNTA(P!E$2:E$1000)+COUNTA(D!E$2:E$1000)+COUNTA('C'!E$2:E$1000)+COUNTA(A!E$2:E$1000)=0,C90,ROUND(C90*MAX(0.1,IFERROR(Dashboard!B$3/Dashboard!B$10,1))*(1+Dashboard!F$6*IF(B90="Occ",0.5,IF(B90="Pun",0.35,IF(B90="Tit",0.25,IF(B90="Scm",0.15,0.05)))))*IF(OR(B90="Occ",B90="Pun"),Dashboard!V$6,IF(B90="Tit",Dashboard!W$6,Dashboard!X$6)),0)))</f>
        <v>11</v>
      </c>
      <c r="G90" s="84"/>
      <c r="J90" s="124"/>
      <c r="N90" s="124"/>
      <c r="R90" s="124"/>
      <c r="T90" s="88"/>
      <c r="U90" s="88"/>
      <c r="V90" s="88"/>
      <c r="W90" s="88"/>
    </row>
    <row r="91" spans="1:23">
      <c r="A91" s="155" t="s">
        <v>137</v>
      </c>
      <c r="B91" s="92" t="s">
        <v>13</v>
      </c>
      <c r="C91" s="130">
        <v>5</v>
      </c>
      <c r="D91" s="78" t="s">
        <v>9</v>
      </c>
      <c r="E91" s="103"/>
      <c r="F91" s="122">
        <f>IF(D91&lt;&gt;"L","-",IF(COUNTA(P!E$2:E$1000)+COUNTA(D!E$2:E$1000)+COUNTA('C'!E$2:E$1000)+COUNTA(A!E$2:E$1000)=0,C91,ROUND(C91*MAX(0.1,IFERROR(Dashboard!B$3/Dashboard!B$10,1))*(1+Dashboard!F$6*IF(B91="Occ",0.5,IF(B91="Pun",0.35,IF(B91="Tit",0.25,IF(B91="Scm",0.15,0.05)))))*IF(OR(B91="Occ",B91="Pun"),Dashboard!V$6,IF(B91="Tit",Dashboard!W$6,Dashboard!X$6)),0)))</f>
        <v>5</v>
      </c>
      <c r="G91" s="84" t="s">
        <v>138</v>
      </c>
      <c r="J91" s="124"/>
      <c r="N91" s="124"/>
      <c r="R91" s="124"/>
      <c r="T91" s="88"/>
      <c r="U91" s="88"/>
      <c r="V91" s="88"/>
      <c r="W91" s="88"/>
    </row>
    <row r="92" spans="1:23">
      <c r="A92" s="155" t="s">
        <v>139</v>
      </c>
      <c r="B92" s="93" t="s">
        <v>23</v>
      </c>
      <c r="C92" s="130">
        <v>3</v>
      </c>
      <c r="D92" s="78" t="s">
        <v>9</v>
      </c>
      <c r="E92" s="103"/>
      <c r="F92" s="122">
        <f>IF(D92&lt;&gt;"L","-",IF(COUNTA(P!E$2:E$1000)+COUNTA(D!E$2:E$1000)+COUNTA('C'!E$2:E$1000)+COUNTA(A!E$2:E$1000)=0,C92,ROUND(C92*MAX(0.1,IFERROR(Dashboard!B$3/Dashboard!B$10,1))*(1+Dashboard!F$6*IF(B92="Occ",0.5,IF(B92="Pun",0.35,IF(B92="Tit",0.25,IF(B92="Scm",0.15,0.05)))))*IF(OR(B92="Occ",B92="Pun"),Dashboard!V$6,IF(B92="Tit",Dashboard!W$6,Dashboard!X$6)),0)))</f>
        <v>3</v>
      </c>
      <c r="G92" s="84"/>
      <c r="T92" s="88"/>
      <c r="U92" s="88"/>
      <c r="V92" s="88"/>
      <c r="W92" s="88"/>
    </row>
    <row r="93" spans="1:23">
      <c r="A93" s="155" t="s">
        <v>140</v>
      </c>
      <c r="B93" s="94" t="s">
        <v>15</v>
      </c>
      <c r="C93" s="129">
        <v>1</v>
      </c>
      <c r="D93" s="78" t="s">
        <v>9</v>
      </c>
      <c r="E93" s="103"/>
      <c r="F93" s="122">
        <f>IF(D93&lt;&gt;"L","-",IF(COUNTA(P!E$2:E$1000)+COUNTA(D!E$2:E$1000)+COUNTA('C'!E$2:E$1000)+COUNTA(A!E$2:E$1000)=0,C93,ROUND(C93*MAX(0.1,IFERROR(Dashboard!B$3/Dashboard!B$10,1))*(1+Dashboard!F$6*IF(B93="Occ",0.5,IF(B93="Pun",0.35,IF(B93="Tit",0.25,IF(B93="Scm",0.15,0.05)))))*IF(OR(B93="Occ",B93="Pun"),Dashboard!V$6,IF(B93="Tit",Dashboard!W$6,Dashboard!X$6)),0)))</f>
        <v>1</v>
      </c>
      <c r="G93" s="84"/>
      <c r="T93" s="88"/>
      <c r="U93" s="88"/>
      <c r="V93" s="88"/>
      <c r="W93" s="88"/>
    </row>
    <row r="94" spans="1:23">
      <c r="A94" s="155" t="s">
        <v>141</v>
      </c>
      <c r="B94" s="94" t="s">
        <v>15</v>
      </c>
      <c r="C94" s="129">
        <v>1</v>
      </c>
      <c r="D94" s="78" t="s">
        <v>9</v>
      </c>
      <c r="E94" s="103"/>
      <c r="F94" s="122">
        <f>IF(D94&lt;&gt;"L","-",IF(COUNTA(P!E$2:E$1000)+COUNTA(D!E$2:E$1000)+COUNTA('C'!E$2:E$1000)+COUNTA(A!E$2:E$1000)=0,C94,ROUND(C94*MAX(0.1,IFERROR(Dashboard!B$3/Dashboard!B$10,1))*(1+Dashboard!F$6*IF(B94="Occ",0.5,IF(B94="Pun",0.35,IF(B94="Tit",0.25,IF(B94="Scm",0.15,0.05)))))*IF(OR(B94="Occ",B94="Pun"),Dashboard!V$6,IF(B94="Tit",Dashboard!W$6,Dashboard!X$6)),0)))</f>
        <v>1</v>
      </c>
      <c r="G94" s="84"/>
      <c r="T94" s="88"/>
      <c r="U94" s="88"/>
      <c r="V94" s="88"/>
      <c r="W94" s="88"/>
    </row>
    <row r="95" spans="1:23">
      <c r="A95" s="155" t="s">
        <v>142</v>
      </c>
      <c r="B95" s="91" t="s">
        <v>8</v>
      </c>
      <c r="C95" s="130">
        <v>3</v>
      </c>
      <c r="D95" s="78" t="s">
        <v>9</v>
      </c>
      <c r="E95" s="103"/>
      <c r="F95" s="122">
        <f>IF(D95&lt;&gt;"L","-",IF(COUNTA(P!E$2:E$1000)+COUNTA(D!E$2:E$1000)+COUNTA('C'!E$2:E$1000)+COUNTA(A!E$2:E$1000)=0,C95,ROUND(C95*MAX(0.1,IFERROR(Dashboard!B$3/Dashboard!B$10,1))*(1+Dashboard!F$6*IF(B95="Occ",0.5,IF(B95="Pun",0.35,IF(B95="Tit",0.25,IF(B95="Scm",0.15,0.05)))))*IF(OR(B95="Occ",B95="Pun"),Dashboard!V$6,IF(B95="Tit",Dashboard!W$6,Dashboard!X$6)),0)))</f>
        <v>3</v>
      </c>
      <c r="G95" s="84"/>
      <c r="J95" s="124"/>
      <c r="N95" s="124"/>
      <c r="R95" s="124"/>
      <c r="T95" s="88"/>
      <c r="U95" s="88"/>
      <c r="V95" s="88"/>
      <c r="W95" s="88"/>
    </row>
    <row r="96" spans="1:23">
      <c r="A96" s="155" t="s">
        <v>143</v>
      </c>
      <c r="B96" s="99" t="s">
        <v>41</v>
      </c>
      <c r="C96" s="129">
        <v>1</v>
      </c>
      <c r="D96" s="78" t="s">
        <v>9</v>
      </c>
      <c r="E96" s="103"/>
      <c r="F96" s="122">
        <f>IF(D96&lt;&gt;"L","-",IF(COUNTA(P!E$2:E$1000)+COUNTA(D!E$2:E$1000)+COUNTA('C'!E$2:E$1000)+COUNTA(A!E$2:E$1000)=0,C96,ROUND(C96*MAX(0.1,IFERROR(Dashboard!B$3/Dashboard!B$10,1))*(1+Dashboard!F$6*IF(B96="Occ",0.5,IF(B96="Pun",0.35,IF(B96="Tit",0.25,IF(B96="Scm",0.15,0.05)))))*IF(OR(B96="Occ",B96="Pun"),Dashboard!V$6,IF(B96="Tit",Dashboard!W$6,Dashboard!X$6)),0)))</f>
        <v>1</v>
      </c>
      <c r="G96" s="84"/>
      <c r="T96" s="88"/>
      <c r="U96" s="88"/>
      <c r="V96" s="88"/>
      <c r="W96" s="88"/>
    </row>
    <row r="97" spans="1:23">
      <c r="A97" s="155" t="s">
        <v>144</v>
      </c>
      <c r="B97" s="93" t="s">
        <v>23</v>
      </c>
      <c r="C97" s="130">
        <v>1</v>
      </c>
      <c r="D97" s="78" t="s">
        <v>9</v>
      </c>
      <c r="E97" s="103"/>
      <c r="F97" s="122">
        <f>IF(D97&lt;&gt;"L","-",IF(COUNTA(P!E$2:E$1000)+COUNTA(D!E$2:E$1000)+COUNTA('C'!E$2:E$1000)+COUNTA(A!E$2:E$1000)=0,C97,ROUND(C97*MAX(0.1,IFERROR(Dashboard!B$3/Dashboard!B$10,1))*(1+Dashboard!F$6*IF(B97="Occ",0.5,IF(B97="Pun",0.35,IF(B97="Tit",0.25,IF(B97="Scm",0.15,0.05)))))*IF(OR(B97="Occ",B97="Pun"),Dashboard!V$6,IF(B97="Tit",Dashboard!W$6,Dashboard!X$6)),0)))</f>
        <v>1</v>
      </c>
      <c r="G97" s="84"/>
      <c r="T97" s="88"/>
      <c r="U97" s="88"/>
      <c r="V97" s="88"/>
      <c r="W97" s="88"/>
    </row>
    <row r="98" spans="1:23">
      <c r="A98" s="155" t="s">
        <v>145</v>
      </c>
      <c r="B98" s="94" t="s">
        <v>15</v>
      </c>
      <c r="C98" s="130">
        <v>1</v>
      </c>
      <c r="D98" s="78" t="s">
        <v>9</v>
      </c>
      <c r="E98" s="103"/>
      <c r="F98" s="122">
        <f>IF(D98&lt;&gt;"L","-",IF(COUNTA(P!E$2:E$1000)+COUNTA(D!E$2:E$1000)+COUNTA('C'!E$2:E$1000)+COUNTA(A!E$2:E$1000)=0,C98,ROUND(C98*MAX(0.1,IFERROR(Dashboard!B$3/Dashboard!B$10,1))*(1+Dashboard!F$6*IF(B98="Occ",0.5,IF(B98="Pun",0.35,IF(B98="Tit",0.25,IF(B98="Scm",0.15,0.05)))))*IF(OR(B98="Occ",B98="Pun"),Dashboard!V$6,IF(B98="Tit",Dashboard!W$6,Dashboard!X$6)),0)))</f>
        <v>1</v>
      </c>
      <c r="G98" s="84"/>
      <c r="T98" s="88"/>
      <c r="U98" s="88"/>
      <c r="V98" s="88"/>
      <c r="W98" s="88"/>
    </row>
    <row r="99" spans="1:23">
      <c r="A99" s="155" t="s">
        <v>146</v>
      </c>
      <c r="B99" s="91" t="s">
        <v>8</v>
      </c>
      <c r="C99" s="129">
        <v>4</v>
      </c>
      <c r="D99" s="78" t="s">
        <v>9</v>
      </c>
      <c r="E99" s="103"/>
      <c r="F99" s="122">
        <f>IF(D99&lt;&gt;"L","-",IF(COUNTA(P!E$2:E$1000)+COUNTA(D!E$2:E$1000)+COUNTA('C'!E$2:E$1000)+COUNTA(A!E$2:E$1000)=0,C99,ROUND(C99*MAX(0.1,IFERROR(Dashboard!B$3/Dashboard!B$10,1))*(1+Dashboard!F$6*IF(B99="Occ",0.5,IF(B99="Pun",0.35,IF(B99="Tit",0.25,IF(B99="Scm",0.15,0.05)))))*IF(OR(B99="Occ",B99="Pun"),Dashboard!V$6,IF(B99="Tit",Dashboard!W$6,Dashboard!X$6)),0)))</f>
        <v>4</v>
      </c>
      <c r="G99" s="84"/>
      <c r="J99" s="124"/>
      <c r="N99" s="124"/>
      <c r="R99" s="124"/>
      <c r="T99" s="88"/>
      <c r="U99" s="88"/>
      <c r="V99" s="88"/>
      <c r="W99" s="88"/>
    </row>
    <row r="100" spans="1:23">
      <c r="A100" s="155" t="s">
        <v>147</v>
      </c>
      <c r="B100" s="91" t="s">
        <v>8</v>
      </c>
      <c r="C100" s="130">
        <v>5</v>
      </c>
      <c r="D100" s="78" t="s">
        <v>9</v>
      </c>
      <c r="E100" s="103"/>
      <c r="F100" s="122">
        <f>IF(D100&lt;&gt;"L","-",IF(COUNTA(P!E$2:E$1000)+COUNTA(D!E$2:E$1000)+COUNTA('C'!E$2:E$1000)+COUNTA(A!E$2:E$1000)=0,C100,ROUND(C100*MAX(0.1,IFERROR(Dashboard!B$3/Dashboard!B$10,1))*(1+Dashboard!F$6*IF(B100="Occ",0.5,IF(B100="Pun",0.35,IF(B100="Tit",0.25,IF(B100="Scm",0.15,0.05)))))*IF(OR(B100="Occ",B100="Pun"),Dashboard!V$6,IF(B100="Tit",Dashboard!W$6,Dashboard!X$6)),0)))</f>
        <v>5</v>
      </c>
      <c r="G100" s="84" t="s">
        <v>148</v>
      </c>
      <c r="J100" s="124"/>
      <c r="N100" s="124"/>
      <c r="R100" s="124"/>
      <c r="T100" s="88"/>
      <c r="U100" s="88"/>
      <c r="V100" s="88"/>
      <c r="W100" s="88"/>
    </row>
    <row r="101" spans="1:23">
      <c r="A101" s="155" t="s">
        <v>149</v>
      </c>
      <c r="B101" s="99" t="s">
        <v>41</v>
      </c>
      <c r="C101" s="130">
        <v>3</v>
      </c>
      <c r="D101" s="78" t="s">
        <v>9</v>
      </c>
      <c r="E101" s="103"/>
      <c r="F101" s="122">
        <f>IF(D101&lt;&gt;"L","-",IF(COUNTA(P!E$2:E$1000)+COUNTA(D!E$2:E$1000)+COUNTA('C'!E$2:E$1000)+COUNTA(A!E$2:E$1000)=0,C101,ROUND(C101*MAX(0.1,IFERROR(Dashboard!B$3/Dashboard!B$10,1))*(1+Dashboard!F$6*IF(B101="Occ",0.5,IF(B101="Pun",0.35,IF(B101="Tit",0.25,IF(B101="Scm",0.15,0.05)))))*IF(OR(B101="Occ",B101="Pun"),Dashboard!V$6,IF(B101="Tit",Dashboard!W$6,Dashboard!X$6)),0)))</f>
        <v>3</v>
      </c>
      <c r="G101" s="84"/>
      <c r="T101" s="88"/>
      <c r="U101" s="88"/>
      <c r="V101" s="88"/>
      <c r="W101" s="88"/>
    </row>
    <row r="102" spans="1:23">
      <c r="A102" s="155" t="s">
        <v>150</v>
      </c>
      <c r="B102" s="94" t="s">
        <v>15</v>
      </c>
      <c r="C102" s="130">
        <v>1</v>
      </c>
      <c r="D102" s="78" t="s">
        <v>9</v>
      </c>
      <c r="E102" s="103"/>
      <c r="F102" s="122">
        <f>IF(D102&lt;&gt;"L","-",IF(COUNTA(P!E$2:E$1000)+COUNTA(D!E$2:E$1000)+COUNTA('C'!E$2:E$1000)+COUNTA(A!E$2:E$1000)=0,C102,ROUND(C102*MAX(0.1,IFERROR(Dashboard!B$3/Dashboard!B$10,1))*(1+Dashboard!F$6*IF(B102="Occ",0.5,IF(B102="Pun",0.35,IF(B102="Tit",0.25,IF(B102="Scm",0.15,0.05)))))*IF(OR(B102="Occ",B102="Pun"),Dashboard!V$6,IF(B102="Tit",Dashboard!W$6,Dashboard!X$6)),0)))</f>
        <v>1</v>
      </c>
      <c r="G102" s="84"/>
      <c r="T102" s="88"/>
      <c r="U102" s="88"/>
      <c r="V102" s="88"/>
      <c r="W102" s="88"/>
    </row>
    <row r="103" spans="1:23">
      <c r="A103" s="155" t="s">
        <v>151</v>
      </c>
      <c r="B103" s="94" t="s">
        <v>15</v>
      </c>
      <c r="C103" s="130">
        <v>1</v>
      </c>
      <c r="D103" s="78" t="s">
        <v>9</v>
      </c>
      <c r="E103" s="103"/>
      <c r="F103" s="122">
        <f>IF(D103&lt;&gt;"L","-",IF(COUNTA(P!E$2:E$1000)+COUNTA(D!E$2:E$1000)+COUNTA('C'!E$2:E$1000)+COUNTA(A!E$2:E$1000)=0,C103,ROUND(C103*MAX(0.1,IFERROR(Dashboard!B$3/Dashboard!B$10,1))*(1+Dashboard!F$6*IF(B103="Occ",0.5,IF(B103="Pun",0.35,IF(B103="Tit",0.25,IF(B103="Scm",0.15,0.05)))))*IF(OR(B103="Occ",B103="Pun"),Dashboard!V$6,IF(B103="Tit",Dashboard!W$6,Dashboard!X$6)),0)))</f>
        <v>1</v>
      </c>
      <c r="G103" s="84"/>
      <c r="T103" s="88"/>
      <c r="U103" s="88"/>
      <c r="V103" s="88"/>
      <c r="W103" s="88"/>
    </row>
    <row r="104" spans="1:23">
      <c r="A104" s="155" t="s">
        <v>152</v>
      </c>
      <c r="B104" s="91" t="s">
        <v>8</v>
      </c>
      <c r="C104" s="130">
        <v>4</v>
      </c>
      <c r="D104" s="78" t="s">
        <v>9</v>
      </c>
      <c r="E104" s="103"/>
      <c r="F104" s="122">
        <f>IF(D104&lt;&gt;"L","-",IF(COUNTA(P!E$2:E$1000)+COUNTA(D!E$2:E$1000)+COUNTA('C'!E$2:E$1000)+COUNTA(A!E$2:E$1000)=0,C104,ROUND(C104*MAX(0.1,IFERROR(Dashboard!B$3/Dashboard!B$10,1))*(1+Dashboard!F$6*IF(B104="Occ",0.5,IF(B104="Pun",0.35,IF(B104="Tit",0.25,IF(B104="Scm",0.15,0.05)))))*IF(OR(B104="Occ",B104="Pun"),Dashboard!V$6,IF(B104="Tit",Dashboard!W$6,Dashboard!X$6)),0)))</f>
        <v>4</v>
      </c>
      <c r="G104" s="84"/>
      <c r="J104" s="124"/>
      <c r="N104" s="124"/>
      <c r="R104" s="124"/>
      <c r="T104" s="88"/>
      <c r="U104" s="88"/>
      <c r="V104" s="88"/>
      <c r="W104" s="88"/>
    </row>
    <row r="105" spans="1:23">
      <c r="A105" s="155" t="s">
        <v>153</v>
      </c>
      <c r="B105" s="99" t="s">
        <v>41</v>
      </c>
      <c r="C105" s="130">
        <v>1</v>
      </c>
      <c r="D105" s="78" t="s">
        <v>9</v>
      </c>
      <c r="E105" s="103"/>
      <c r="F105" s="122">
        <f>IF(D105&lt;&gt;"L","-",IF(COUNTA(P!E$2:E$1000)+COUNTA(D!E$2:E$1000)+COUNTA('C'!E$2:E$1000)+COUNTA(A!E$2:E$1000)=0,C105,ROUND(C105*MAX(0.1,IFERROR(Dashboard!B$3/Dashboard!B$10,1))*(1+Dashboard!F$6*IF(B105="Occ",0.5,IF(B105="Pun",0.35,IF(B105="Tit",0.25,IF(B105="Scm",0.15,0.05)))))*IF(OR(B105="Occ",B105="Pun"),Dashboard!V$6,IF(B105="Tit",Dashboard!W$6,Dashboard!X$6)),0)))</f>
        <v>1</v>
      </c>
      <c r="G105" s="84"/>
      <c r="T105" s="88"/>
      <c r="U105" s="88"/>
      <c r="V105" s="88"/>
      <c r="W105" s="88"/>
    </row>
    <row r="106" spans="1:23">
      <c r="A106" s="156" t="s">
        <v>154</v>
      </c>
      <c r="B106" s="92" t="s">
        <v>13</v>
      </c>
      <c r="C106" s="130">
        <v>14</v>
      </c>
      <c r="D106" s="78" t="s">
        <v>9</v>
      </c>
      <c r="E106" s="103"/>
      <c r="F106" s="122">
        <f>IF(D106&lt;&gt;"L","-",IF(COUNTA(P!E$2:E$1000)+COUNTA(D!E$2:E$1000)+COUNTA('C'!E$2:E$1000)+COUNTA(A!E$2:E$1000)=0,C106,ROUND(C106*MAX(0.1,IFERROR(Dashboard!B$3/Dashboard!B$10,1))*(1+Dashboard!F$6*IF(B106="Occ",0.5,IF(B106="Pun",0.35,IF(B106="Tit",0.25,IF(B106="Scm",0.15,0.05)))))*IF(OR(B106="Occ",B106="Pun"),Dashboard!V$6,IF(B106="Tit",Dashboard!W$6,Dashboard!X$6)),0)))</f>
        <v>14</v>
      </c>
      <c r="G106" s="84"/>
      <c r="J106" s="124"/>
      <c r="N106" s="124"/>
      <c r="R106" s="124"/>
      <c r="T106" s="88"/>
      <c r="U106" s="88"/>
      <c r="V106" s="88"/>
      <c r="W106" s="88"/>
    </row>
    <row r="107" spans="1:23">
      <c r="A107" s="155" t="s">
        <v>155</v>
      </c>
      <c r="B107" s="93" t="s">
        <v>23</v>
      </c>
      <c r="C107" s="129">
        <v>5</v>
      </c>
      <c r="D107" s="78" t="s">
        <v>9</v>
      </c>
      <c r="E107" s="103"/>
      <c r="F107" s="122">
        <f>IF(D107&lt;&gt;"L","-",IF(COUNTA(P!E$2:E$1000)+COUNTA(D!E$2:E$1000)+COUNTA('C'!E$2:E$1000)+COUNTA(A!E$2:E$1000)=0,C107,ROUND(C107*MAX(0.1,IFERROR(Dashboard!B$3/Dashboard!B$10,1))*(1+Dashboard!F$6*IF(B107="Occ",0.5,IF(B107="Pun",0.35,IF(B107="Tit",0.25,IF(B107="Scm",0.15,0.05)))))*IF(OR(B107="Occ",B107="Pun"),Dashboard!V$6,IF(B107="Tit",Dashboard!W$6,Dashboard!X$6)),0)))</f>
        <v>5</v>
      </c>
      <c r="G107" s="84" t="s">
        <v>156</v>
      </c>
      <c r="T107" s="88"/>
      <c r="U107" s="88"/>
      <c r="V107" s="88"/>
      <c r="W107" s="88"/>
    </row>
    <row r="108" spans="1:23">
      <c r="A108" s="155" t="s">
        <v>157</v>
      </c>
      <c r="B108" s="99" t="s">
        <v>41</v>
      </c>
      <c r="C108" s="130">
        <v>1</v>
      </c>
      <c r="D108" s="78" t="s">
        <v>9</v>
      </c>
      <c r="E108" s="103"/>
      <c r="F108" s="122">
        <f>IF(D108&lt;&gt;"L","-",IF(COUNTA(P!E$2:E$1000)+COUNTA(D!E$2:E$1000)+COUNTA('C'!E$2:E$1000)+COUNTA(A!E$2:E$1000)=0,C108,ROUND(C108*MAX(0.1,IFERROR(Dashboard!B$3/Dashboard!B$10,1))*(1+Dashboard!F$6*IF(B108="Occ",0.5,IF(B108="Pun",0.35,IF(B108="Tit",0.25,IF(B108="Scm",0.15,0.05)))))*IF(OR(B108="Occ",B108="Pun"),Dashboard!V$6,IF(B108="Tit",Dashboard!W$6,Dashboard!X$6)),0)))</f>
        <v>1</v>
      </c>
      <c r="G108" s="84"/>
      <c r="T108" s="88"/>
      <c r="U108" s="88"/>
      <c r="V108" s="88"/>
      <c r="W108" s="88"/>
    </row>
    <row r="109" spans="1:23">
      <c r="A109" s="157" t="s">
        <v>158</v>
      </c>
      <c r="B109" s="108" t="s">
        <v>8</v>
      </c>
      <c r="C109" s="158">
        <v>5</v>
      </c>
      <c r="D109" s="79" t="s">
        <v>9</v>
      </c>
      <c r="E109" s="112"/>
      <c r="F109" s="126">
        <f>IF(D109&lt;&gt;"L","-",IF(COUNTA(P!E$2:E$1000)+COUNTA(D!E$2:E$1000)+COUNTA('C'!E$2:E$1000)+COUNTA(A!E$2:E$1000)=0,C109,ROUND(C109*MAX(0.1,IFERROR(Dashboard!B$3/Dashboard!B$10,1))*(1+Dashboard!F$6*IF(B109="Occ",0.5,IF(B109="Pun",0.35,IF(B109="Tit",0.25,IF(B109="Scm",0.15,0.05)))))*IF(OR(B109="Occ",B109="Pun"),Dashboard!V$6,IF(B109="Tit",Dashboard!W$6,Dashboard!X$6)),0)))</f>
        <v>5</v>
      </c>
      <c r="G109" s="86"/>
      <c r="J109" s="124"/>
      <c r="N109" s="124"/>
      <c r="R109" s="124"/>
      <c r="T109" s="88"/>
      <c r="U109" s="88"/>
      <c r="V109" s="88"/>
      <c r="W109" s="88"/>
    </row>
    <row r="110" spans="1:23">
      <c r="A110" s="88"/>
      <c r="B110" s="88"/>
      <c r="G110" s="88"/>
      <c r="T110" s="88"/>
      <c r="U110" s="88"/>
      <c r="V110" s="88"/>
      <c r="W110" s="88"/>
    </row>
    <row r="111" spans="1:23">
      <c r="A111" s="88"/>
      <c r="B111" s="88"/>
      <c r="G111" s="88"/>
      <c r="T111" s="88"/>
      <c r="U111" s="88"/>
      <c r="V111" s="88"/>
      <c r="W111" s="88"/>
    </row>
    <row r="112" spans="1:23">
      <c r="A112" s="88"/>
      <c r="B112" s="88"/>
      <c r="G112" s="88"/>
      <c r="T112" s="88"/>
      <c r="U112" s="88"/>
      <c r="V112" s="88"/>
      <c r="W112" s="88"/>
    </row>
    <row r="113" spans="1:23">
      <c r="A113" s="88"/>
      <c r="B113" s="88"/>
      <c r="G113" s="88"/>
      <c r="T113" s="88"/>
      <c r="U113" s="88"/>
      <c r="V113" s="88"/>
      <c r="W113" s="88"/>
    </row>
    <row r="114" spans="1:23">
      <c r="A114" s="88"/>
      <c r="B114" s="88"/>
      <c r="G114" s="88"/>
      <c r="T114" s="88"/>
      <c r="U114" s="88"/>
      <c r="V114" s="88"/>
      <c r="W114" s="88"/>
    </row>
    <row r="115" spans="1:23">
      <c r="A115" s="88"/>
      <c r="B115" s="88"/>
      <c r="G115" s="88"/>
      <c r="T115" s="88"/>
      <c r="U115" s="88"/>
      <c r="V115" s="88"/>
      <c r="W115" s="88"/>
    </row>
    <row r="116" spans="1:23">
      <c r="A116" s="88"/>
      <c r="B116" s="88"/>
      <c r="G116" s="88"/>
      <c r="T116" s="88"/>
      <c r="U116" s="88"/>
      <c r="V116" s="88"/>
      <c r="W116" s="88"/>
    </row>
    <row r="117" spans="1:23">
      <c r="A117" s="88"/>
      <c r="B117" s="88"/>
      <c r="G117" s="88"/>
      <c r="T117" s="88"/>
      <c r="U117" s="88"/>
      <c r="V117" s="88"/>
      <c r="W117" s="88"/>
    </row>
    <row r="118" spans="1:23">
      <c r="A118" s="88"/>
      <c r="B118" s="88"/>
      <c r="G118" s="88"/>
      <c r="T118" s="88"/>
      <c r="U118" s="88"/>
      <c r="V118" s="88"/>
      <c r="W118" s="88"/>
    </row>
    <row r="119" spans="1:23">
      <c r="A119" s="88"/>
      <c r="B119" s="88"/>
      <c r="G119" s="88"/>
      <c r="T119" s="88"/>
      <c r="U119" s="88"/>
      <c r="V119" s="88"/>
      <c r="W119" s="88"/>
    </row>
    <row r="120" spans="1:23">
      <c r="A120" s="88"/>
      <c r="B120" s="88"/>
      <c r="G120" s="88"/>
      <c r="T120" s="88"/>
      <c r="U120" s="88"/>
      <c r="V120" s="88"/>
      <c r="W120" s="88"/>
    </row>
    <row r="121" spans="1:23">
      <c r="A121" s="88"/>
      <c r="B121" s="88"/>
      <c r="G121" s="88"/>
      <c r="T121" s="88"/>
      <c r="U121" s="88"/>
      <c r="V121" s="88"/>
      <c r="W121" s="88"/>
    </row>
    <row r="122" spans="1:23">
      <c r="A122" s="88"/>
      <c r="B122" s="88"/>
      <c r="G122" s="88"/>
      <c r="T122" s="88"/>
      <c r="U122" s="88"/>
      <c r="V122" s="88"/>
      <c r="W122" s="88"/>
    </row>
    <row r="123" spans="1:23">
      <c r="A123" s="88"/>
      <c r="B123" s="88"/>
      <c r="G123" s="88"/>
      <c r="T123" s="88"/>
      <c r="U123" s="88"/>
      <c r="V123" s="88"/>
      <c r="W123" s="88"/>
    </row>
    <row r="124" spans="1:23">
      <c r="A124" s="88"/>
      <c r="B124" s="88"/>
      <c r="G124" s="88"/>
      <c r="T124" s="88"/>
      <c r="U124" s="88"/>
      <c r="V124" s="88"/>
      <c r="W124" s="88"/>
    </row>
    <row r="125" spans="1:23">
      <c r="A125" s="88"/>
      <c r="B125" s="88"/>
      <c r="G125" s="88"/>
      <c r="T125" s="88"/>
      <c r="U125" s="88"/>
      <c r="V125" s="88"/>
      <c r="W125" s="88"/>
    </row>
  </sheetData>
  <sheetProtection sheet="1" objects="1" scenarios="1"/>
  <autoFilter ref="A1:G1" xr:uid="{97D13381-4F80-4C1C-822C-C6F00E837B2A}"/>
  <sortState xmlns:xlrd2="http://schemas.microsoft.com/office/spreadsheetml/2017/richdata2" ref="A2:B122">
    <sortCondition ref="A2:A122"/>
  </sortState>
  <conditionalFormatting sqref="A1:C29 G1:S2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0:O5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0:K5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8:K8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0:C57 G30:G5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8:C85 G58:G8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6:C109 G86:G10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7:F1048576 E1:F12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0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allowBlank="1" showInputMessage="1" showErrorMessage="1" sqref="A1:C1048576 G1:XFD1048576" xr:uid="{B452AEFF-5663-469B-A4E0-10796BE91C29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9FE7AF8-A485-4069-8365-BDCA72741BE5}">
          <x14:formula1>
            <xm:f>Tutti!$O$4:$O$7</xm:f>
          </x14:formula1>
          <xm:sqref>E64:E65</xm:sqref>
        </x14:dataValidation>
        <x14:dataValidation type="list" allowBlank="1" showInputMessage="1" showErrorMessage="1" xr:uid="{535A95DC-A1EA-44A7-AB91-33AFA8A579B8}">
          <x14:formula1>
            <xm:f>Utils!$A$2:$A$4</xm:f>
          </x14:formula1>
          <xm:sqref>D2:D109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6C648-B41E-4113-BC50-C6AC63A655A9}">
  <dimension ref="A1:BL141"/>
  <sheetViews>
    <sheetView workbookViewId="0">
      <selection activeCell="G123" sqref="G123"/>
    </sheetView>
  </sheetViews>
  <sheetFormatPr defaultRowHeight="15"/>
  <cols>
    <col min="1" max="1" width="14.85546875" style="8" bestFit="1" customWidth="1"/>
    <col min="2" max="2" width="4.7109375" style="78" bestFit="1" customWidth="1"/>
    <col min="3" max="3" width="5.28515625" style="130" bestFit="1" customWidth="1"/>
    <col min="4" max="4" width="7.42578125" style="22" bestFit="1" customWidth="1"/>
    <col min="5" max="5" width="13.7109375" style="22" bestFit="1" customWidth="1"/>
    <col min="6" max="6" width="7.7109375" style="135" bestFit="1" customWidth="1"/>
    <col min="7" max="7" width="20.140625" style="102" bestFit="1" customWidth="1"/>
    <col min="8" max="8" width="15" style="123" bestFit="1" customWidth="1"/>
    <col min="9" max="9" width="4.7109375" style="123" bestFit="1" customWidth="1"/>
    <col min="10" max="10" width="5.28515625" style="123" bestFit="1" customWidth="1"/>
    <col min="11" max="11" width="14" style="123" bestFit="1" customWidth="1"/>
    <col min="12" max="12" width="19.5703125" style="123" bestFit="1" customWidth="1"/>
    <col min="13" max="13" width="4.7109375" style="123" bestFit="1" customWidth="1"/>
    <col min="14" max="14" width="5.28515625" style="123" bestFit="1" customWidth="1"/>
    <col min="15" max="15" width="20.5703125" style="123" bestFit="1" customWidth="1"/>
    <col min="16" max="16" width="15" style="123" bestFit="1" customWidth="1"/>
    <col min="17" max="17" width="4.7109375" style="123" bestFit="1" customWidth="1"/>
    <col min="18" max="18" width="5.28515625" style="123" bestFit="1" customWidth="1"/>
    <col min="19" max="19" width="9.140625" style="123"/>
    <col min="20" max="20" width="10.85546875" style="123" bestFit="1" customWidth="1"/>
    <col min="21" max="21" width="4.7109375" style="123" bestFit="1" customWidth="1"/>
    <col min="22" max="22" width="5.28515625" style="123" bestFit="1" customWidth="1"/>
    <col min="23" max="23" width="7.85546875" style="123" bestFit="1" customWidth="1"/>
    <col min="24" max="63" width="9.140625" style="22"/>
    <col min="64" max="64" width="9.140625" style="10"/>
    <col min="65" max="16384" width="9.140625" style="2"/>
  </cols>
  <sheetData>
    <row r="1" spans="1:22">
      <c r="A1" s="73" t="s">
        <v>0</v>
      </c>
      <c r="B1" s="100" t="s">
        <v>1</v>
      </c>
      <c r="C1" s="127" t="s">
        <v>2</v>
      </c>
      <c r="D1" s="100" t="s">
        <v>3</v>
      </c>
      <c r="E1" s="74" t="s">
        <v>4</v>
      </c>
      <c r="F1" s="120" t="s">
        <v>5</v>
      </c>
      <c r="G1" s="133" t="s">
        <v>6</v>
      </c>
    </row>
    <row r="2" spans="1:22">
      <c r="A2" s="109" t="s">
        <v>159</v>
      </c>
      <c r="B2" s="107" t="s">
        <v>41</v>
      </c>
      <c r="C2" s="128">
        <v>1</v>
      </c>
      <c r="D2" s="101" t="s">
        <v>9</v>
      </c>
      <c r="E2" s="104"/>
      <c r="F2" s="121">
        <f>IF(D2&lt;&gt;"L","-",IF(COUNTA(P!E$2:E$1000)+COUNTA(D!E$2:E$1000)+COUNTA('C'!E$2:E$1000)+COUNTA(A!E$2:E$1000)=0,C2,ROUND(C2*MAX(0.1,IFERROR(Dashboard!B$3/Dashboard!B$10,1))*(1+Dashboard!F$7*IF(B2="Occ",0.5,IF(B2="Pun",0.35,IF(B2="Tit",0.25,IF(B2="Scm",0.15,0.05)))))*IF(OR(B2="Occ",B2="Pun"),Dashboard!V$7,IF(B2="Tit",Dashboard!W$7,Dashboard!X$7)),0)))</f>
        <v>1</v>
      </c>
      <c r="G2" s="125"/>
    </row>
    <row r="3" spans="1:22">
      <c r="A3" s="110" t="s">
        <v>160</v>
      </c>
      <c r="B3" s="91" t="s">
        <v>8</v>
      </c>
      <c r="C3" s="129">
        <v>3</v>
      </c>
      <c r="D3" s="78" t="s">
        <v>9</v>
      </c>
      <c r="E3" s="103"/>
      <c r="F3" s="122">
        <f>IF(D3&lt;&gt;"L","-",IF(COUNTA(P!E$2:E$1000)+COUNTA(D!E$2:E$1000)+COUNTA('C'!E$2:E$1000)+COUNTA(A!E$2:E$1000)=0,C3,ROUND(C3*MAX(0.1,IFERROR(Dashboard!B$3/Dashboard!B$10,1))*(1+Dashboard!F$7*IF(B3="Occ",0.5,IF(B3="Pun",0.35,IF(B3="Tit",0.25,IF(B3="Scm",0.15,0.05)))))*IF(OR(B3="Occ",B3="Pun"),Dashboard!V$7,IF(B3="Tit",Dashboard!W$7,Dashboard!X$7)),0)))</f>
        <v>3</v>
      </c>
      <c r="G3" s="89" t="s">
        <v>161</v>
      </c>
      <c r="J3" s="124"/>
      <c r="U3" s="124"/>
      <c r="V3" s="124"/>
    </row>
    <row r="4" spans="1:22">
      <c r="A4" s="110" t="s">
        <v>162</v>
      </c>
      <c r="B4" s="93" t="s">
        <v>23</v>
      </c>
      <c r="C4" s="130">
        <v>1</v>
      </c>
      <c r="D4" s="78" t="s">
        <v>9</v>
      </c>
      <c r="E4" s="103"/>
      <c r="F4" s="122">
        <f>IF(D4&lt;&gt;"L","-",IF(COUNTA(P!E$2:E$1000)+COUNTA(D!E$2:E$1000)+COUNTA('C'!E$2:E$1000)+COUNTA(A!E$2:E$1000)=0,C4,ROUND(C4*MAX(0.1,IFERROR(Dashboard!B$3/Dashboard!B$10,1))*(1+Dashboard!F$7*IF(B4="Occ",0.5,IF(B4="Pun",0.35,IF(B4="Tit",0.25,IF(B4="Scm",0.15,0.05)))))*IF(OR(B4="Occ",B4="Pun"),Dashboard!V$7,IF(B4="Tit",Dashboard!W$7,Dashboard!X$7)),0)))</f>
        <v>1</v>
      </c>
      <c r="G4" s="89"/>
      <c r="I4" s="124"/>
      <c r="N4" s="124"/>
      <c r="Q4" s="124"/>
      <c r="R4" s="124"/>
      <c r="U4" s="124"/>
    </row>
    <row r="5" spans="1:22">
      <c r="A5" s="110" t="s">
        <v>163</v>
      </c>
      <c r="B5" s="93" t="s">
        <v>23</v>
      </c>
      <c r="C5" s="130">
        <v>4</v>
      </c>
      <c r="D5" s="78" t="s">
        <v>9</v>
      </c>
      <c r="E5" s="103"/>
      <c r="F5" s="122">
        <f>IF(D5&lt;&gt;"L","-",IF(COUNTA(P!E$2:E$1000)+COUNTA(D!E$2:E$1000)+COUNTA('C'!E$2:E$1000)+COUNTA(A!E$2:E$1000)=0,C5,ROUND(C5*MAX(0.1,IFERROR(Dashboard!B$3/Dashboard!B$10,1))*(1+Dashboard!F$7*IF(B5="Occ",0.5,IF(B5="Pun",0.35,IF(B5="Tit",0.25,IF(B5="Scm",0.15,0.05)))))*IF(OR(B5="Occ",B5="Pun"),Dashboard!V$7,IF(B5="Tit",Dashboard!W$7,Dashboard!X$7)),0)))</f>
        <v>4</v>
      </c>
      <c r="G5" s="89"/>
      <c r="H5" s="136"/>
      <c r="I5" s="124"/>
      <c r="M5" s="124"/>
      <c r="Q5" s="124"/>
    </row>
    <row r="6" spans="1:22">
      <c r="A6" s="110" t="s">
        <v>164</v>
      </c>
      <c r="B6" s="93" t="s">
        <v>23</v>
      </c>
      <c r="C6" s="130">
        <v>1</v>
      </c>
      <c r="D6" s="78" t="s">
        <v>9</v>
      </c>
      <c r="E6" s="103"/>
      <c r="F6" s="122">
        <f>IF(D6&lt;&gt;"L","-",IF(COUNTA(P!E$2:E$1000)+COUNTA(D!E$2:E$1000)+COUNTA('C'!E$2:E$1000)+COUNTA(A!E$2:E$1000)=0,C6,ROUND(C6*MAX(0.1,IFERROR(Dashboard!B$3/Dashboard!B$10,1))*(1+Dashboard!F$7*IF(B6="Occ",0.5,IF(B6="Pun",0.35,IF(B6="Tit",0.25,IF(B6="Scm",0.15,0.05)))))*IF(OR(B6="Occ",B6="Pun"),Dashboard!V$7,IF(B6="Tit",Dashboard!W$7,Dashboard!X$7)),0)))</f>
        <v>1</v>
      </c>
      <c r="G6" s="89"/>
      <c r="H6" s="136"/>
      <c r="Q6" s="124"/>
      <c r="U6" s="124"/>
    </row>
    <row r="7" spans="1:22">
      <c r="A7" s="110" t="s">
        <v>165</v>
      </c>
      <c r="B7" s="99" t="s">
        <v>41</v>
      </c>
      <c r="C7" s="130">
        <v>8</v>
      </c>
      <c r="D7" s="78" t="s">
        <v>9</v>
      </c>
      <c r="E7" s="103"/>
      <c r="F7" s="122">
        <f>IF(D7&lt;&gt;"L","-",IF(COUNTA(P!E$2:E$1000)+COUNTA(D!E$2:E$1000)+COUNTA('C'!E$2:E$1000)+COUNTA(A!E$2:E$1000)=0,C7,ROUND(C7*MAX(0.1,IFERROR(Dashboard!B$3/Dashboard!B$10,1))*(1+Dashboard!F$7*IF(B7="Occ",0.5,IF(B7="Pun",0.35,IF(B7="Tit",0.25,IF(B7="Scm",0.15,0.05)))))*IF(OR(B7="Occ",B7="Pun"),Dashboard!V$7,IF(B7="Tit",Dashboard!W$7,Dashboard!X$7)),0)))</f>
        <v>8</v>
      </c>
      <c r="G7" s="89"/>
      <c r="P7" s="136"/>
      <c r="Q7" s="124"/>
    </row>
    <row r="8" spans="1:22">
      <c r="A8" s="110" t="s">
        <v>166</v>
      </c>
      <c r="B8" s="99" t="s">
        <v>41</v>
      </c>
      <c r="C8" s="130">
        <v>1</v>
      </c>
      <c r="D8" s="78" t="s">
        <v>9</v>
      </c>
      <c r="E8" s="103"/>
      <c r="F8" s="122">
        <f>IF(D8&lt;&gt;"L","-",IF(COUNTA(P!E$2:E$1000)+COUNTA(D!E$2:E$1000)+COUNTA('C'!E$2:E$1000)+COUNTA(A!E$2:E$1000)=0,C8,ROUND(C8*MAX(0.1,IFERROR(Dashboard!B$3/Dashboard!B$10,1))*(1+Dashboard!F$7*IF(B8="Occ",0.5,IF(B8="Pun",0.35,IF(B8="Tit",0.25,IF(B8="Scm",0.15,0.05)))))*IF(OR(B8="Occ",B8="Pun"),Dashboard!V$7,IF(B8="Tit",Dashboard!W$7,Dashboard!X$7)),0)))</f>
        <v>1</v>
      </c>
      <c r="G8" s="89"/>
      <c r="I8" s="124"/>
    </row>
    <row r="9" spans="1:22">
      <c r="A9" s="110" t="s">
        <v>167</v>
      </c>
      <c r="B9" s="91" t="s">
        <v>8</v>
      </c>
      <c r="C9" s="129">
        <v>15</v>
      </c>
      <c r="D9" s="78" t="s">
        <v>9</v>
      </c>
      <c r="E9" s="103"/>
      <c r="F9" s="122">
        <f>IF(D9&lt;&gt;"L","-",IF(COUNTA(P!E$2:E$1000)+COUNTA(D!E$2:E$1000)+COUNTA('C'!E$2:E$1000)+COUNTA(A!E$2:E$1000)=0,C9,ROUND(C9*MAX(0.1,IFERROR(Dashboard!B$3/Dashboard!B$10,1))*(1+Dashboard!F$7*IF(B9="Occ",0.5,IF(B9="Pun",0.35,IF(B9="Tit",0.25,IF(B9="Scm",0.15,0.05)))))*IF(OR(B9="Occ",B9="Pun"),Dashboard!V$7,IF(B9="Tit",Dashboard!W$7,Dashboard!X$7)),0)))</f>
        <v>15</v>
      </c>
      <c r="G9" s="89" t="s">
        <v>64</v>
      </c>
      <c r="H9" s="136"/>
      <c r="I9" s="124"/>
      <c r="J9" s="124"/>
      <c r="R9" s="124"/>
      <c r="V9" s="124"/>
    </row>
    <row r="10" spans="1:22">
      <c r="A10" s="110" t="s">
        <v>168</v>
      </c>
      <c r="B10" s="92" t="s">
        <v>13</v>
      </c>
      <c r="C10" s="129">
        <v>30</v>
      </c>
      <c r="D10" s="78" t="s">
        <v>9</v>
      </c>
      <c r="E10" s="103"/>
      <c r="F10" s="122">
        <f>IF(D10&lt;&gt;"L","-",IF(COUNTA(P!E$2:E$1000)+COUNTA(D!E$2:E$1000)+COUNTA('C'!E$2:E$1000)+COUNTA(A!E$2:E$1000)=0,C10,ROUND(C10*MAX(0.1,IFERROR(Dashboard!B$3/Dashboard!B$10,1))*(1+Dashboard!F$7*IF(B10="Occ",0.5,IF(B10="Pun",0.35,IF(B10="Tit",0.25,IF(B10="Scm",0.15,0.05)))))*IF(OR(B10="Occ",B10="Pun"),Dashboard!V$7,IF(B10="Tit",Dashboard!W$7,Dashboard!X$7)),0)))</f>
        <v>30</v>
      </c>
      <c r="G10" s="89"/>
      <c r="J10" s="124"/>
      <c r="N10" s="124"/>
      <c r="Q10" s="124"/>
      <c r="R10" s="124"/>
      <c r="V10" s="124"/>
    </row>
    <row r="11" spans="1:22">
      <c r="A11" s="110" t="s">
        <v>169</v>
      </c>
      <c r="B11" s="94" t="s">
        <v>15</v>
      </c>
      <c r="C11" s="130">
        <v>1</v>
      </c>
      <c r="D11" s="78" t="s">
        <v>9</v>
      </c>
      <c r="E11" s="103"/>
      <c r="F11" s="122">
        <f>IF(D11&lt;&gt;"L","-",IF(COUNTA(P!E$2:E$1000)+COUNTA(D!E$2:E$1000)+COUNTA('C'!E$2:E$1000)+COUNTA(A!E$2:E$1000)=0,C11,ROUND(C11*MAX(0.1,IFERROR(Dashboard!B$3/Dashboard!B$10,1))*(1+Dashboard!F$7*IF(B11="Occ",0.5,IF(B11="Pun",0.35,IF(B11="Tit",0.25,IF(B11="Scm",0.15,0.05)))))*IF(OR(B11="Occ",B11="Pun"),Dashboard!V$7,IF(B11="Tit",Dashboard!W$7,Dashboard!X$7)),0)))</f>
        <v>1</v>
      </c>
      <c r="G11" s="89"/>
      <c r="H11" s="136"/>
      <c r="I11" s="124"/>
      <c r="N11" s="124"/>
      <c r="Q11" s="124"/>
    </row>
    <row r="12" spans="1:22">
      <c r="A12" s="110" t="s">
        <v>170</v>
      </c>
      <c r="B12" s="91" t="s">
        <v>8</v>
      </c>
      <c r="C12" s="129">
        <v>40</v>
      </c>
      <c r="D12" s="78" t="s">
        <v>9</v>
      </c>
      <c r="E12" s="103"/>
      <c r="F12" s="122">
        <f>IF(D12&lt;&gt;"L","-",IF(COUNTA(P!E$2:E$1000)+COUNTA(D!E$2:E$1000)+COUNTA('C'!E$2:E$1000)+COUNTA(A!E$2:E$1000)=0,C12,ROUND(C12*MAX(0.1,IFERROR(Dashboard!B$3/Dashboard!B$10,1))*(1+Dashboard!F$7*IF(B12="Occ",0.5,IF(B12="Pun",0.35,IF(B12="Tit",0.25,IF(B12="Scm",0.15,0.05)))))*IF(OR(B12="Occ",B12="Pun"),Dashboard!V$7,IF(B12="Tit",Dashboard!W$7,Dashboard!X$7)),0)))</f>
        <v>40</v>
      </c>
      <c r="G12" s="89"/>
      <c r="J12" s="124"/>
      <c r="L12" s="136"/>
      <c r="M12" s="124"/>
      <c r="Q12" s="124"/>
      <c r="R12" s="124"/>
      <c r="V12" s="124"/>
    </row>
    <row r="13" spans="1:22">
      <c r="A13" s="110" t="s">
        <v>171</v>
      </c>
      <c r="B13" s="93" t="s">
        <v>23</v>
      </c>
      <c r="C13" s="130">
        <v>1</v>
      </c>
      <c r="D13" s="78" t="s">
        <v>9</v>
      </c>
      <c r="E13" s="103"/>
      <c r="F13" s="122">
        <f>IF(D13&lt;&gt;"L","-",IF(COUNTA(P!E$2:E$1000)+COUNTA(D!E$2:E$1000)+COUNTA('C'!E$2:E$1000)+COUNTA(A!E$2:E$1000)=0,C13,ROUND(C13*MAX(0.1,IFERROR(Dashboard!B$3/Dashboard!B$10,1))*(1+Dashboard!F$7*IF(B13="Occ",0.5,IF(B13="Pun",0.35,IF(B13="Tit",0.25,IF(B13="Scm",0.15,0.05)))))*IF(OR(B13="Occ",B13="Pun"),Dashboard!V$7,IF(B13="Tit",Dashboard!W$7,Dashboard!X$7)),0)))</f>
        <v>1</v>
      </c>
      <c r="G13" s="89"/>
      <c r="M13" s="124"/>
      <c r="N13" s="124"/>
    </row>
    <row r="14" spans="1:22">
      <c r="A14" s="110" t="s">
        <v>172</v>
      </c>
      <c r="B14" s="99" t="s">
        <v>41</v>
      </c>
      <c r="C14" s="130">
        <v>8</v>
      </c>
      <c r="D14" s="78" t="s">
        <v>9</v>
      </c>
      <c r="E14" s="103"/>
      <c r="F14" s="122">
        <f>IF(D14&lt;&gt;"L","-",IF(COUNTA(P!E$2:E$1000)+COUNTA(D!E$2:E$1000)+COUNTA('C'!E$2:E$1000)+COUNTA(A!E$2:E$1000)=0,C14,ROUND(C14*MAX(0.1,IFERROR(Dashboard!B$3/Dashboard!B$10,1))*(1+Dashboard!F$7*IF(B14="Occ",0.5,IF(B14="Pun",0.35,IF(B14="Tit",0.25,IF(B14="Scm",0.15,0.05)))))*IF(OR(B14="Occ",B14="Pun"),Dashboard!V$7,IF(B14="Tit",Dashboard!W$7,Dashboard!X$7)),0)))</f>
        <v>8</v>
      </c>
      <c r="G14" s="89" t="s">
        <v>64</v>
      </c>
      <c r="I14" s="124"/>
    </row>
    <row r="15" spans="1:22">
      <c r="A15" s="110" t="s">
        <v>173</v>
      </c>
      <c r="B15" s="91" t="s">
        <v>8</v>
      </c>
      <c r="C15" s="129">
        <v>15</v>
      </c>
      <c r="D15" s="78" t="s">
        <v>9</v>
      </c>
      <c r="E15" s="103"/>
      <c r="F15" s="122">
        <f>IF(D15&lt;&gt;"L","-",IF(COUNTA(P!E$2:E$1000)+COUNTA(D!E$2:E$1000)+COUNTA('C'!E$2:E$1000)+COUNTA(A!E$2:E$1000)=0,C15,ROUND(C15*MAX(0.1,IFERROR(Dashboard!B$3/Dashboard!B$10,1))*(1+Dashboard!F$7*IF(B15="Occ",0.5,IF(B15="Pun",0.35,IF(B15="Tit",0.25,IF(B15="Scm",0.15,0.05)))))*IF(OR(B15="Occ",B15="Pun"),Dashboard!V$7,IF(B15="Tit",Dashboard!W$7,Dashboard!X$7)),0)))</f>
        <v>15</v>
      </c>
      <c r="G15" s="89" t="s">
        <v>174</v>
      </c>
      <c r="J15" s="124"/>
      <c r="M15" s="124"/>
      <c r="R15" s="124"/>
      <c r="V15" s="124"/>
    </row>
    <row r="16" spans="1:22">
      <c r="A16" s="110" t="s">
        <v>175</v>
      </c>
      <c r="B16" s="94" t="s">
        <v>15</v>
      </c>
      <c r="C16" s="130">
        <v>1</v>
      </c>
      <c r="D16" s="78" t="s">
        <v>9</v>
      </c>
      <c r="E16" s="103"/>
      <c r="F16" s="122">
        <f>IF(D16&lt;&gt;"L","-",IF(COUNTA(P!E$2:E$1000)+COUNTA(D!E$2:E$1000)+COUNTA('C'!E$2:E$1000)+COUNTA(A!E$2:E$1000)=0,C16,ROUND(C16*MAX(0.1,IFERROR(Dashboard!B$3/Dashboard!B$10,1))*(1+Dashboard!F$7*IF(B16="Occ",0.5,IF(B16="Pun",0.35,IF(B16="Tit",0.25,IF(B16="Scm",0.15,0.05)))))*IF(OR(B16="Occ",B16="Pun"),Dashboard!V$7,IF(B16="Tit",Dashboard!W$7,Dashboard!X$7)),0)))</f>
        <v>1</v>
      </c>
      <c r="G16" s="89"/>
      <c r="I16" s="124"/>
      <c r="N16" s="124"/>
      <c r="Q16" s="124"/>
    </row>
    <row r="17" spans="1:64">
      <c r="A17" s="110" t="s">
        <v>176</v>
      </c>
      <c r="B17" s="91" t="s">
        <v>8</v>
      </c>
      <c r="C17" s="129">
        <v>6</v>
      </c>
      <c r="D17" s="78" t="s">
        <v>9</v>
      </c>
      <c r="E17" s="103"/>
      <c r="F17" s="122">
        <f>IF(D17&lt;&gt;"L","-",IF(COUNTA(P!E$2:E$1000)+COUNTA(D!E$2:E$1000)+COUNTA('C'!E$2:E$1000)+COUNTA(A!E$2:E$1000)=0,C17,ROUND(C17*MAX(0.1,IFERROR(Dashboard!B$3/Dashboard!B$10,1))*(1+Dashboard!F$7*IF(B17="Occ",0.5,IF(B17="Pun",0.35,IF(B17="Tit",0.25,IF(B17="Scm",0.15,0.05)))))*IF(OR(B17="Occ",B17="Pun"),Dashboard!V$7,IF(B17="Tit",Dashboard!W$7,Dashboard!X$7)),0)))</f>
        <v>6</v>
      </c>
      <c r="G17" s="89"/>
      <c r="J17" s="124"/>
      <c r="Q17" s="124"/>
      <c r="R17" s="124"/>
      <c r="V17" s="124"/>
    </row>
    <row r="18" spans="1:64">
      <c r="A18" s="110" t="s">
        <v>177</v>
      </c>
      <c r="B18" s="93" t="s">
        <v>23</v>
      </c>
      <c r="C18" s="130">
        <v>1</v>
      </c>
      <c r="D18" s="78" t="s">
        <v>9</v>
      </c>
      <c r="E18" s="103"/>
      <c r="F18" s="122">
        <f>IF(D18&lt;&gt;"L","-",IF(COUNTA(P!E$2:E$1000)+COUNTA(D!E$2:E$1000)+COUNTA('C'!E$2:E$1000)+COUNTA(A!E$2:E$1000)=0,C18,ROUND(C18*MAX(0.1,IFERROR(Dashboard!B$3/Dashboard!B$10,1))*(1+Dashboard!F$7*IF(B18="Occ",0.5,IF(B18="Pun",0.35,IF(B18="Tit",0.25,IF(B18="Scm",0.15,0.05)))))*IF(OR(B18="Occ",B18="Pun"),Dashboard!V$7,IF(B18="Tit",Dashboard!W$7,Dashboard!X$7)),0)))</f>
        <v>1</v>
      </c>
      <c r="G18" s="89"/>
      <c r="I18" s="124"/>
      <c r="N18" s="124"/>
    </row>
    <row r="19" spans="1:64">
      <c r="A19" s="110" t="s">
        <v>178</v>
      </c>
      <c r="B19" s="92" t="s">
        <v>13</v>
      </c>
      <c r="C19" s="129">
        <v>65</v>
      </c>
      <c r="D19" s="78" t="s">
        <v>9</v>
      </c>
      <c r="E19" s="103"/>
      <c r="F19" s="122">
        <f>IF(D19&lt;&gt;"L","-",IF(COUNTA(P!E$2:E$1000)+COUNTA(D!E$2:E$1000)+COUNTA('C'!E$2:E$1000)+COUNTA(A!E$2:E$1000)=0,C19,ROUND(C19*MAX(0.1,IFERROR(Dashboard!B$3/Dashboard!B$10,1))*(1+Dashboard!F$7*IF(B19="Occ",0.5,IF(B19="Pun",0.35,IF(B19="Tit",0.25,IF(B19="Scm",0.15,0.05)))))*IF(OR(B19="Occ",B19="Pun"),Dashboard!V$7,IF(B19="Tit",Dashboard!W$7,Dashboard!X$7)),0)))</f>
        <v>65</v>
      </c>
      <c r="G19" s="89" t="s">
        <v>179</v>
      </c>
      <c r="H19" s="136"/>
      <c r="J19" s="124"/>
      <c r="R19" s="124"/>
      <c r="V19" s="124"/>
    </row>
    <row r="20" spans="1:64">
      <c r="A20" s="110" t="s">
        <v>180</v>
      </c>
      <c r="B20" s="99" t="s">
        <v>41</v>
      </c>
      <c r="C20" s="130">
        <v>8</v>
      </c>
      <c r="D20" s="78" t="s">
        <v>9</v>
      </c>
      <c r="E20" s="103"/>
      <c r="F20" s="122">
        <f>IF(D20&lt;&gt;"L","-",IF(COUNTA(P!E$2:E$1000)+COUNTA(D!E$2:E$1000)+COUNTA('C'!E$2:E$1000)+COUNTA(A!E$2:E$1000)=0,C20,ROUND(C20*MAX(0.1,IFERROR(Dashboard!B$3/Dashboard!B$10,1))*(1+Dashboard!F$7*IF(B20="Occ",0.5,IF(B20="Pun",0.35,IF(B20="Tit",0.25,IF(B20="Scm",0.15,0.05)))))*IF(OR(B20="Occ",B20="Pun"),Dashboard!V$7,IF(B20="Tit",Dashboard!W$7,Dashboard!X$7)),0)))</f>
        <v>8</v>
      </c>
      <c r="G20" s="89" t="s">
        <v>179</v>
      </c>
      <c r="L20" s="136"/>
      <c r="M20" s="124"/>
      <c r="N20" s="124"/>
    </row>
    <row r="21" spans="1:64">
      <c r="A21" s="110" t="s">
        <v>181</v>
      </c>
      <c r="B21" s="91" t="s">
        <v>8</v>
      </c>
      <c r="C21" s="129">
        <v>8</v>
      </c>
      <c r="D21" s="78" t="s">
        <v>9</v>
      </c>
      <c r="E21" s="103"/>
      <c r="F21" s="122">
        <f>IF(D21&lt;&gt;"L","-",IF(COUNTA(P!E$2:E$1000)+COUNTA(D!E$2:E$1000)+COUNTA('C'!E$2:E$1000)+COUNTA(A!E$2:E$1000)=0,C21,ROUND(C21*MAX(0.1,IFERROR(Dashboard!B$3/Dashboard!B$10,1))*(1+Dashboard!F$7*IF(B21="Occ",0.5,IF(B21="Pun",0.35,IF(B21="Tit",0.25,IF(B21="Scm",0.15,0.05)))))*IF(OR(B21="Occ",B21="Pun"),Dashboard!V$7,IF(B21="Tit",Dashboard!W$7,Dashboard!X$7)),0)))</f>
        <v>8</v>
      </c>
      <c r="G21" s="89"/>
      <c r="J21" s="124"/>
      <c r="M21" s="124"/>
      <c r="R21" s="124"/>
      <c r="V21" s="124"/>
    </row>
    <row r="22" spans="1:64">
      <c r="A22" s="111" t="s">
        <v>182</v>
      </c>
      <c r="B22" s="91" t="s">
        <v>8</v>
      </c>
      <c r="C22" s="129">
        <v>18</v>
      </c>
      <c r="D22" s="78" t="s">
        <v>9</v>
      </c>
      <c r="E22" s="103"/>
      <c r="F22" s="122">
        <f>IF(D22&lt;&gt;"L","-",IF(COUNTA(P!E$2:E$1000)+COUNTA(D!E$2:E$1000)+COUNTA('C'!E$2:E$1000)+COUNTA(A!E$2:E$1000)=0,C22,ROUND(C22*MAX(0.1,IFERROR(Dashboard!B$3/Dashboard!B$10,1))*(1+Dashboard!F$7*IF(B22="Occ",0.5,IF(B22="Pun",0.35,IF(B22="Tit",0.25,IF(B22="Scm",0.15,0.05)))))*IF(OR(B22="Occ",B22="Pun"),Dashboard!V$7,IF(B22="Tit",Dashboard!W$7,Dashboard!X$7)),0)))</f>
        <v>18</v>
      </c>
      <c r="G22" s="89"/>
      <c r="I22" s="124"/>
      <c r="J22" s="124"/>
      <c r="N22" s="124"/>
      <c r="R22" s="124"/>
      <c r="V22" s="124"/>
    </row>
    <row r="23" spans="1:64">
      <c r="A23" s="110" t="s">
        <v>183</v>
      </c>
      <c r="B23" s="93" t="s">
        <v>23</v>
      </c>
      <c r="C23" s="130">
        <v>1</v>
      </c>
      <c r="D23" s="78" t="s">
        <v>9</v>
      </c>
      <c r="E23" s="103"/>
      <c r="F23" s="122">
        <f>IF(D23&lt;&gt;"L","-",IF(COUNTA(P!E$2:E$1000)+COUNTA(D!E$2:E$1000)+COUNTA('C'!E$2:E$1000)+COUNTA(A!E$2:E$1000)=0,C23,ROUND(C23*MAX(0.1,IFERROR(Dashboard!B$3/Dashboard!B$10,1))*(1+Dashboard!F$7*IF(B23="Occ",0.5,IF(B23="Pun",0.35,IF(B23="Tit",0.25,IF(B23="Scm",0.15,0.05)))))*IF(OR(B23="Occ",B23="Pun"),Dashboard!V$7,IF(B23="Tit",Dashboard!W$7,Dashboard!X$7)),0)))</f>
        <v>1</v>
      </c>
      <c r="G23" s="89"/>
      <c r="N23" s="124"/>
      <c r="P23" s="136"/>
      <c r="Q23" s="124"/>
    </row>
    <row r="24" spans="1:64">
      <c r="A24" s="110" t="s">
        <v>184</v>
      </c>
      <c r="B24" s="93" t="s">
        <v>23</v>
      </c>
      <c r="C24" s="130">
        <v>3</v>
      </c>
      <c r="D24" s="78" t="s">
        <v>9</v>
      </c>
      <c r="E24" s="103"/>
      <c r="F24" s="122">
        <f>IF(D24&lt;&gt;"L","-",IF(COUNTA(P!E$2:E$1000)+COUNTA(D!E$2:E$1000)+COUNTA('C'!E$2:E$1000)+COUNTA(A!E$2:E$1000)=0,C24,ROUND(C24*MAX(0.1,IFERROR(Dashboard!B$3/Dashboard!B$10,1))*(1+Dashboard!F$7*IF(B24="Occ",0.5,IF(B24="Pun",0.35,IF(B24="Tit",0.25,IF(B24="Scm",0.15,0.05)))))*IF(OR(B24="Occ",B24="Pun"),Dashboard!V$7,IF(B24="Tit",Dashboard!W$7,Dashboard!X$7)),0)))</f>
        <v>3</v>
      </c>
      <c r="G24" s="89" t="s">
        <v>185</v>
      </c>
      <c r="M24" s="124"/>
      <c r="Q24" s="124"/>
    </row>
    <row r="25" spans="1:64">
      <c r="A25" s="110" t="s">
        <v>186</v>
      </c>
      <c r="B25" s="94" t="s">
        <v>15</v>
      </c>
      <c r="C25" s="130">
        <v>1</v>
      </c>
      <c r="D25" s="78" t="s">
        <v>9</v>
      </c>
      <c r="E25" s="103"/>
      <c r="F25" s="122">
        <f>IF(D25&lt;&gt;"L","-",IF(COUNTA(P!E$2:E$1000)+COUNTA(D!E$2:E$1000)+COUNTA('C'!E$2:E$1000)+COUNTA(A!E$2:E$1000)=0,C25,ROUND(C25*MAX(0.1,IFERROR(Dashboard!B$3/Dashboard!B$10,1))*(1+Dashboard!F$7*IF(B25="Occ",0.5,IF(B25="Pun",0.35,IF(B25="Tit",0.25,IF(B25="Scm",0.15,0.05)))))*IF(OR(B25="Occ",B25="Pun"),Dashboard!V$7,IF(B25="Tit",Dashboard!W$7,Dashboard!X$7)),0)))</f>
        <v>1</v>
      </c>
      <c r="G25" s="89"/>
      <c r="M25" s="124"/>
    </row>
    <row r="26" spans="1:64">
      <c r="A26" s="111" t="s">
        <v>187</v>
      </c>
      <c r="B26" s="93" t="s">
        <v>23</v>
      </c>
      <c r="C26" s="130">
        <v>4</v>
      </c>
      <c r="D26" s="78" t="s">
        <v>9</v>
      </c>
      <c r="E26" s="103"/>
      <c r="F26" s="122">
        <f>IF(D26&lt;&gt;"L","-",IF(COUNTA(P!E$2:E$1000)+COUNTA(D!E$2:E$1000)+COUNTA('C'!E$2:E$1000)+COUNTA(A!E$2:E$1000)=0,C26,ROUND(C26*MAX(0.1,IFERROR(Dashboard!B$3/Dashboard!B$10,1))*(1+Dashboard!F$7*IF(B26="Occ",0.5,IF(B26="Pun",0.35,IF(B26="Tit",0.25,IF(B26="Scm",0.15,0.05)))))*IF(OR(B26="Occ",B26="Pun"),Dashboard!V$7,IF(B26="Tit",Dashboard!W$7,Dashboard!X$7)),0)))</f>
        <v>4</v>
      </c>
      <c r="G26" s="89"/>
      <c r="M26" s="124"/>
    </row>
    <row r="27" spans="1:64">
      <c r="A27" s="110" t="s">
        <v>188</v>
      </c>
      <c r="B27" s="91" t="s">
        <v>8</v>
      </c>
      <c r="C27" s="129">
        <v>8</v>
      </c>
      <c r="D27" s="78" t="s">
        <v>9</v>
      </c>
      <c r="E27" s="103"/>
      <c r="F27" s="122">
        <f>IF(D27&lt;&gt;"L","-",IF(COUNTA(P!E$2:E$1000)+COUNTA(D!E$2:E$1000)+COUNTA('C'!E$2:E$1000)+COUNTA(A!E$2:E$1000)=0,C27,ROUND(C27*MAX(0.1,IFERROR(Dashboard!B$3/Dashboard!B$10,1))*(1+Dashboard!F$7*IF(B27="Occ",0.5,IF(B27="Pun",0.35,IF(B27="Tit",0.25,IF(B27="Scm",0.15,0.05)))))*IF(OR(B27="Occ",B27="Pun"),Dashboard!V$7,IF(B27="Tit",Dashboard!W$7,Dashboard!X$7)),0)))</f>
        <v>8</v>
      </c>
      <c r="G27" s="89" t="s">
        <v>64</v>
      </c>
      <c r="Q27" s="124"/>
      <c r="R27" s="124"/>
      <c r="V27" s="124"/>
    </row>
    <row r="28" spans="1:64" s="131" customFormat="1">
      <c r="A28" s="111" t="s">
        <v>189</v>
      </c>
      <c r="B28" s="91" t="s">
        <v>8</v>
      </c>
      <c r="C28" s="129">
        <v>20</v>
      </c>
      <c r="D28" s="78" t="s">
        <v>9</v>
      </c>
      <c r="E28" s="103"/>
      <c r="F28" s="122">
        <f>IF(D28&lt;&gt;"L","-",IF(COUNTA(P!E$2:E$1000)+COUNTA(D!E$2:E$1000)+COUNTA('C'!E$2:E$1000)+COUNTA(A!E$2:E$1000)=0,C28,ROUND(C28*MAX(0.1,IFERROR(Dashboard!B$3/Dashboard!B$10,1))*(1+Dashboard!F$7*IF(B28="Occ",0.5,IF(B28="Pun",0.35,IF(B28="Tit",0.25,IF(B28="Scm",0.15,0.05)))))*IF(OR(B28="Occ",B28="Pun"),Dashboard!V$7,IF(B28="Tit",Dashboard!W$7,Dashboard!X$7)),0)))</f>
        <v>20</v>
      </c>
      <c r="G28" s="89"/>
      <c r="H28" s="123"/>
      <c r="I28" s="123"/>
      <c r="J28" s="124"/>
      <c r="K28" s="123"/>
      <c r="L28" s="136"/>
      <c r="M28" s="124"/>
      <c r="N28" s="124"/>
      <c r="O28" s="123"/>
      <c r="P28" s="123"/>
      <c r="Q28" s="124"/>
      <c r="R28" s="124"/>
      <c r="S28" s="123"/>
      <c r="T28" s="123"/>
      <c r="U28" s="123"/>
      <c r="V28" s="124"/>
      <c r="W28" s="123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98"/>
    </row>
    <row r="29" spans="1:64" s="123" customFormat="1">
      <c r="A29" s="110" t="s">
        <v>190</v>
      </c>
      <c r="B29" s="99" t="s">
        <v>41</v>
      </c>
      <c r="C29" s="130">
        <v>5</v>
      </c>
      <c r="D29" s="78" t="s">
        <v>9</v>
      </c>
      <c r="E29" s="103"/>
      <c r="F29" s="122">
        <f>IF(D29&lt;&gt;"L","-",IF(COUNTA(P!E$2:E$1000)+COUNTA(D!E$2:E$1000)+COUNTA('C'!E$2:E$1000)+COUNTA(A!E$2:E$1000)=0,C29,ROUND(C29*MAX(0.1,IFERROR(Dashboard!B$3/Dashboard!B$10,1))*(1+Dashboard!F$7*IF(B29="Occ",0.5,IF(B29="Pun",0.35,IF(B29="Tit",0.25,IF(B29="Scm",0.15,0.05)))))*IF(OR(B29="Occ",B29="Pun"),Dashboard!V$7,IF(B29="Tit",Dashboard!W$7,Dashboard!X$7)),0)))</f>
        <v>5</v>
      </c>
      <c r="G29" s="84"/>
    </row>
    <row r="30" spans="1:64" s="123" customFormat="1">
      <c r="A30" s="110" t="s">
        <v>191</v>
      </c>
      <c r="B30" s="99" t="s">
        <v>41</v>
      </c>
      <c r="C30" s="129">
        <v>7</v>
      </c>
      <c r="D30" s="78" t="s">
        <v>9</v>
      </c>
      <c r="E30" s="103"/>
      <c r="F30" s="122">
        <f>IF(D30&lt;&gt;"L","-",IF(COUNTA(P!E$2:E$1000)+COUNTA(D!E$2:E$1000)+COUNTA('C'!E$2:E$1000)+COUNTA(A!E$2:E$1000)=0,C30,ROUND(C30*MAX(0.1,IFERROR(Dashboard!B$3/Dashboard!B$10,1))*(1+Dashboard!F$7*IF(B30="Occ",0.5,IF(B30="Pun",0.35,IF(B30="Tit",0.25,IF(B30="Scm",0.15,0.05)))))*IF(OR(B30="Occ",B30="Pun"),Dashboard!V$7,IF(B30="Tit",Dashboard!W$7,Dashboard!X$7)),0)))</f>
        <v>7</v>
      </c>
      <c r="G30" s="84" t="s">
        <v>121</v>
      </c>
      <c r="Q30" s="124"/>
      <c r="R30" s="124"/>
    </row>
    <row r="31" spans="1:64" s="123" customFormat="1">
      <c r="A31" s="110" t="s">
        <v>192</v>
      </c>
      <c r="B31" s="92" t="s">
        <v>13</v>
      </c>
      <c r="C31" s="130">
        <v>18</v>
      </c>
      <c r="D31" s="78" t="s">
        <v>9</v>
      </c>
      <c r="E31" s="103"/>
      <c r="F31" s="122">
        <f>IF(D31&lt;&gt;"L","-",IF(COUNTA(P!E$2:E$1000)+COUNTA(D!E$2:E$1000)+COUNTA('C'!E$2:E$1000)+COUNTA(A!E$2:E$1000)=0,C31,ROUND(C31*MAX(0.1,IFERROR(Dashboard!B$3/Dashboard!B$10,1))*(1+Dashboard!F$7*IF(B31="Occ",0.5,IF(B31="Pun",0.35,IF(B31="Tit",0.25,IF(B31="Scm",0.15,0.05)))))*IF(OR(B31="Occ",B31="Pun"),Dashboard!V$7,IF(B31="Tit",Dashboard!W$7,Dashboard!X$7)),0)))</f>
        <v>18</v>
      </c>
      <c r="G31" s="84" t="s">
        <v>179</v>
      </c>
      <c r="J31" s="124"/>
      <c r="M31" s="124"/>
      <c r="N31" s="124"/>
      <c r="Q31" s="124"/>
    </row>
    <row r="32" spans="1:64" s="123" customFormat="1">
      <c r="A32" s="111" t="s">
        <v>193</v>
      </c>
      <c r="B32" s="91" t="s">
        <v>8</v>
      </c>
      <c r="C32" s="130">
        <v>5</v>
      </c>
      <c r="D32" s="78" t="s">
        <v>9</v>
      </c>
      <c r="E32" s="103"/>
      <c r="F32" s="122">
        <f>IF(D32&lt;&gt;"L","-",IF(COUNTA(P!E$2:E$1000)+COUNTA(D!E$2:E$1000)+COUNTA('C'!E$2:E$1000)+COUNTA(A!E$2:E$1000)=0,C32,ROUND(C32*MAX(0.1,IFERROR(Dashboard!B$3/Dashboard!B$10,1))*(1+Dashboard!F$7*IF(B32="Occ",0.5,IF(B32="Pun",0.35,IF(B32="Tit",0.25,IF(B32="Scm",0.15,0.05)))))*IF(OR(B32="Occ",B32="Pun"),Dashboard!V$7,IF(B32="Tit",Dashboard!W$7,Dashboard!X$7)),0)))</f>
        <v>5</v>
      </c>
      <c r="G32" s="84" t="s">
        <v>194</v>
      </c>
      <c r="I32" s="124"/>
      <c r="M32" s="124"/>
    </row>
    <row r="33" spans="1:17" s="123" customFormat="1">
      <c r="A33" s="111" t="s">
        <v>195</v>
      </c>
      <c r="B33" s="93" t="s">
        <v>23</v>
      </c>
      <c r="C33" s="130">
        <v>3</v>
      </c>
      <c r="D33" s="78" t="s">
        <v>9</v>
      </c>
      <c r="E33" s="103"/>
      <c r="F33" s="122">
        <f>IF(D33&lt;&gt;"L","-",IF(COUNTA(P!E$2:E$1000)+COUNTA(D!E$2:E$1000)+COUNTA('C'!E$2:E$1000)+COUNTA(A!E$2:E$1000)=0,C33,ROUND(C33*MAX(0.1,IFERROR(Dashboard!B$3/Dashboard!B$10,1))*(1+Dashboard!F$7*IF(B33="Occ",0.5,IF(B33="Pun",0.35,IF(B33="Tit",0.25,IF(B33="Scm",0.15,0.05)))))*IF(OR(B33="Occ",B33="Pun"),Dashboard!V$7,IF(B33="Tit",Dashboard!W$7,Dashboard!X$7)),0)))</f>
        <v>3</v>
      </c>
      <c r="G33" s="84"/>
      <c r="M33" s="124"/>
      <c r="Q33" s="124"/>
    </row>
    <row r="34" spans="1:17" s="123" customFormat="1">
      <c r="A34" s="110" t="s">
        <v>196</v>
      </c>
      <c r="B34" s="99" t="s">
        <v>41</v>
      </c>
      <c r="C34" s="130">
        <v>1</v>
      </c>
      <c r="D34" s="78" t="s">
        <v>9</v>
      </c>
      <c r="E34" s="103"/>
      <c r="F34" s="122">
        <f>IF(D34&lt;&gt;"L","-",IF(COUNTA(P!E$2:E$1000)+COUNTA(D!E$2:E$1000)+COUNTA('C'!E$2:E$1000)+COUNTA(A!E$2:E$1000)=0,C34,ROUND(C34*MAX(0.1,IFERROR(Dashboard!B$3/Dashboard!B$10,1))*(1+Dashboard!F$7*IF(B34="Occ",0.5,IF(B34="Pun",0.35,IF(B34="Tit",0.25,IF(B34="Scm",0.15,0.05)))))*IF(OR(B34="Occ",B34="Pun"),Dashboard!V$7,IF(B34="Tit",Dashboard!W$7,Dashboard!X$7)),0)))</f>
        <v>1</v>
      </c>
      <c r="G34" s="84"/>
      <c r="L34" s="136"/>
      <c r="M34" s="124"/>
    </row>
    <row r="35" spans="1:17" s="123" customFormat="1">
      <c r="A35" s="110" t="s">
        <v>197</v>
      </c>
      <c r="B35" s="91" t="s">
        <v>8</v>
      </c>
      <c r="C35" s="130">
        <v>13</v>
      </c>
      <c r="D35" s="78" t="s">
        <v>9</v>
      </c>
      <c r="E35" s="103"/>
      <c r="F35" s="122">
        <f>IF(D35&lt;&gt;"L","-",IF(COUNTA(P!E$2:E$1000)+COUNTA(D!E$2:E$1000)+COUNTA('C'!E$2:E$1000)+COUNTA(A!E$2:E$1000)=0,C35,ROUND(C35*MAX(0.1,IFERROR(Dashboard!B$3/Dashboard!B$10,1))*(1+Dashboard!F$7*IF(B35="Occ",0.5,IF(B35="Pun",0.35,IF(B35="Tit",0.25,IF(B35="Scm",0.15,0.05)))))*IF(OR(B35="Occ",B35="Pun"),Dashboard!V$7,IF(B35="Tit",Dashboard!W$7,Dashboard!X$7)),0)))</f>
        <v>13</v>
      </c>
      <c r="G35" s="84"/>
    </row>
    <row r="36" spans="1:17" s="123" customFormat="1">
      <c r="A36" s="111" t="s">
        <v>198</v>
      </c>
      <c r="B36" s="91" t="s">
        <v>8</v>
      </c>
      <c r="C36" s="129">
        <v>13</v>
      </c>
      <c r="D36" s="78" t="s">
        <v>9</v>
      </c>
      <c r="E36" s="103"/>
      <c r="F36" s="122">
        <f>IF(D36&lt;&gt;"L","-",IF(COUNTA(P!E$2:E$1000)+COUNTA(D!E$2:E$1000)+COUNTA('C'!E$2:E$1000)+COUNTA(A!E$2:E$1000)=0,C36,ROUND(C36*MAX(0.1,IFERROR(Dashboard!B$3/Dashboard!B$10,1))*(1+Dashboard!F$7*IF(B36="Occ",0.5,IF(B36="Pun",0.35,IF(B36="Tit",0.25,IF(B36="Scm",0.15,0.05)))))*IF(OR(B36="Occ",B36="Pun"),Dashboard!V$7,IF(B36="Tit",Dashboard!W$7,Dashboard!X$7)),0)))</f>
        <v>13</v>
      </c>
      <c r="G36" s="84"/>
      <c r="N36" s="124"/>
    </row>
    <row r="37" spans="1:17" s="123" customFormat="1">
      <c r="A37" s="110" t="s">
        <v>199</v>
      </c>
      <c r="B37" s="94" t="s">
        <v>15</v>
      </c>
      <c r="C37" s="129">
        <v>1</v>
      </c>
      <c r="D37" s="78" t="s">
        <v>9</v>
      </c>
      <c r="E37" s="103"/>
      <c r="F37" s="122">
        <f>IF(D37&lt;&gt;"L","-",IF(COUNTA(P!E$2:E$1000)+COUNTA(D!E$2:E$1000)+COUNTA('C'!E$2:E$1000)+COUNTA(A!E$2:E$1000)=0,C37,ROUND(C37*MAX(0.1,IFERROR(Dashboard!B$3/Dashboard!B$10,1))*(1+Dashboard!F$7*IF(B37="Occ",0.5,IF(B37="Pun",0.35,IF(B37="Tit",0.25,IF(B37="Scm",0.15,0.05)))))*IF(OR(B37="Occ",B37="Pun"),Dashboard!V$7,IF(B37="Tit",Dashboard!W$7,Dashboard!X$7)),0)))</f>
        <v>1</v>
      </c>
      <c r="G37" s="84"/>
      <c r="J37" s="124"/>
      <c r="M37" s="124"/>
      <c r="N37" s="124"/>
    </row>
    <row r="38" spans="1:17" s="123" customFormat="1">
      <c r="A38" s="111" t="s">
        <v>200</v>
      </c>
      <c r="B38" s="91" t="s">
        <v>8</v>
      </c>
      <c r="C38" s="130">
        <v>8</v>
      </c>
      <c r="D38" s="78" t="s">
        <v>9</v>
      </c>
      <c r="E38" s="103"/>
      <c r="F38" s="122">
        <f>IF(D38&lt;&gt;"L","-",IF(COUNTA(P!E$2:E$1000)+COUNTA(D!E$2:E$1000)+COUNTA('C'!E$2:E$1000)+COUNTA(A!E$2:E$1000)=0,C38,ROUND(C38*MAX(0.1,IFERROR(Dashboard!B$3/Dashboard!B$10,1))*(1+Dashboard!F$7*IF(B38="Occ",0.5,IF(B38="Pun",0.35,IF(B38="Tit",0.25,IF(B38="Scm",0.15,0.05)))))*IF(OR(B38="Occ",B38="Pun"),Dashboard!V$7,IF(B38="Tit",Dashboard!W$7,Dashboard!X$7)),0)))</f>
        <v>8</v>
      </c>
      <c r="G38" s="84"/>
      <c r="J38" s="124"/>
      <c r="M38" s="124"/>
    </row>
    <row r="39" spans="1:17" s="123" customFormat="1">
      <c r="A39" s="110" t="s">
        <v>201</v>
      </c>
      <c r="B39" s="93" t="s">
        <v>23</v>
      </c>
      <c r="C39" s="129">
        <v>1</v>
      </c>
      <c r="D39" s="78" t="s">
        <v>9</v>
      </c>
      <c r="E39" s="103"/>
      <c r="F39" s="122">
        <f>IF(D39&lt;&gt;"L","-",IF(COUNTA(P!E$2:E$1000)+COUNTA(D!E$2:E$1000)+COUNTA('C'!E$2:E$1000)+COUNTA(A!E$2:E$1000)=0,C39,ROUND(C39*MAX(0.1,IFERROR(Dashboard!B$3/Dashboard!B$10,1))*(1+Dashboard!F$7*IF(B39="Occ",0.5,IF(B39="Pun",0.35,IF(B39="Tit",0.25,IF(B39="Scm",0.15,0.05)))))*IF(OR(B39="Occ",B39="Pun"),Dashboard!V$7,IF(B39="Tit",Dashboard!W$7,Dashboard!X$7)),0)))</f>
        <v>1</v>
      </c>
      <c r="G39" s="84" t="s">
        <v>194</v>
      </c>
      <c r="H39" s="136"/>
      <c r="I39" s="124"/>
      <c r="M39" s="124"/>
      <c r="N39" s="124"/>
    </row>
    <row r="40" spans="1:17" s="123" customFormat="1">
      <c r="A40" s="110" t="s">
        <v>202</v>
      </c>
      <c r="B40" s="99" t="s">
        <v>41</v>
      </c>
      <c r="C40" s="130">
        <v>3</v>
      </c>
      <c r="D40" s="78" t="s">
        <v>9</v>
      </c>
      <c r="E40" s="103"/>
      <c r="F40" s="122">
        <f>IF(D40&lt;&gt;"L","-",IF(COUNTA(P!E$2:E$1000)+COUNTA(D!E$2:E$1000)+COUNTA('C'!E$2:E$1000)+COUNTA(A!E$2:E$1000)=0,C40,ROUND(C40*MAX(0.1,IFERROR(Dashboard!B$3/Dashboard!B$10,1))*(1+Dashboard!F$7*IF(B40="Occ",0.5,IF(B40="Pun",0.35,IF(B40="Tit",0.25,IF(B40="Scm",0.15,0.05)))))*IF(OR(B40="Occ",B40="Pun"),Dashboard!V$7,IF(B40="Tit",Dashboard!W$7,Dashboard!X$7)),0)))</f>
        <v>3</v>
      </c>
      <c r="G40" s="84"/>
      <c r="I40" s="124"/>
      <c r="J40" s="124"/>
    </row>
    <row r="41" spans="1:17" s="123" customFormat="1">
      <c r="A41" s="110" t="s">
        <v>203</v>
      </c>
      <c r="B41" s="91" t="s">
        <v>8</v>
      </c>
      <c r="C41" s="130">
        <v>6</v>
      </c>
      <c r="D41" s="78" t="s">
        <v>9</v>
      </c>
      <c r="E41" s="103"/>
      <c r="F41" s="122">
        <f>IF(D41&lt;&gt;"L","-",IF(COUNTA(P!E$2:E$1000)+COUNTA(D!E$2:E$1000)+COUNTA('C'!E$2:E$1000)+COUNTA(A!E$2:E$1000)=0,C41,ROUND(C41*MAX(0.1,IFERROR(Dashboard!B$3/Dashboard!B$10,1))*(1+Dashboard!F$7*IF(B41="Occ",0.5,IF(B41="Pun",0.35,IF(B41="Tit",0.25,IF(B41="Scm",0.15,0.05)))))*IF(OR(B41="Occ",B41="Pun"),Dashboard!V$7,IF(B41="Tit",Dashboard!W$7,Dashboard!X$7)),0)))</f>
        <v>6</v>
      </c>
      <c r="G41" s="84" t="s">
        <v>64</v>
      </c>
    </row>
    <row r="42" spans="1:17" s="123" customFormat="1">
      <c r="A42" s="110" t="s">
        <v>204</v>
      </c>
      <c r="B42" s="99" t="s">
        <v>41</v>
      </c>
      <c r="C42" s="129">
        <v>1</v>
      </c>
      <c r="D42" s="78" t="s">
        <v>9</v>
      </c>
      <c r="E42" s="103"/>
      <c r="F42" s="122">
        <f>IF(D42&lt;&gt;"L","-",IF(COUNTA(P!E$2:E$1000)+COUNTA(D!E$2:E$1000)+COUNTA('C'!E$2:E$1000)+COUNTA(A!E$2:E$1000)=0,C42,ROUND(C42*MAX(0.1,IFERROR(Dashboard!B$3/Dashboard!B$10,1))*(1+Dashboard!F$7*IF(B42="Occ",0.5,IF(B42="Pun",0.35,IF(B42="Tit",0.25,IF(B42="Scm",0.15,0.05)))))*IF(OR(B42="Occ",B42="Pun"),Dashboard!V$7,IF(B42="Tit",Dashboard!W$7,Dashboard!X$7)),0)))</f>
        <v>1</v>
      </c>
      <c r="G42" s="84"/>
      <c r="I42" s="124"/>
      <c r="N42" s="124"/>
    </row>
    <row r="43" spans="1:17" s="123" customFormat="1">
      <c r="A43" s="110" t="s">
        <v>205</v>
      </c>
      <c r="B43" s="91" t="s">
        <v>8</v>
      </c>
      <c r="C43" s="130">
        <v>3</v>
      </c>
      <c r="D43" s="78" t="s">
        <v>9</v>
      </c>
      <c r="E43" s="103"/>
      <c r="F43" s="122">
        <f>IF(D43&lt;&gt;"L","-",IF(COUNTA(P!E$2:E$1000)+COUNTA(D!E$2:E$1000)+COUNTA('C'!E$2:E$1000)+COUNTA(A!E$2:E$1000)=0,C43,ROUND(C43*MAX(0.1,IFERROR(Dashboard!B$3/Dashboard!B$10,1))*(1+Dashboard!F$7*IF(B43="Occ",0.5,IF(B43="Pun",0.35,IF(B43="Tit",0.25,IF(B43="Scm",0.15,0.05)))))*IF(OR(B43="Occ",B43="Pun"),Dashboard!V$7,IF(B43="Tit",Dashboard!W$7,Dashboard!X$7)),0)))</f>
        <v>3</v>
      </c>
      <c r="G43" s="84" t="s">
        <v>206</v>
      </c>
      <c r="J43" s="124"/>
      <c r="M43" s="124"/>
    </row>
    <row r="44" spans="1:17" s="123" customFormat="1">
      <c r="A44" s="110" t="s">
        <v>207</v>
      </c>
      <c r="B44" s="99" t="s">
        <v>41</v>
      </c>
      <c r="C44" s="129">
        <v>1</v>
      </c>
      <c r="D44" s="78" t="s">
        <v>9</v>
      </c>
      <c r="E44" s="103"/>
      <c r="F44" s="122">
        <f>IF(D44&lt;&gt;"L","-",IF(COUNTA(P!E$2:E$1000)+COUNTA(D!E$2:E$1000)+COUNTA('C'!E$2:E$1000)+COUNTA(A!E$2:E$1000)=0,C44,ROUND(C44*MAX(0.1,IFERROR(Dashboard!B$3/Dashboard!B$10,1))*(1+Dashboard!F$7*IF(B44="Occ",0.5,IF(B44="Pun",0.35,IF(B44="Tit",0.25,IF(B44="Scm",0.15,0.05)))))*IF(OR(B44="Occ",B44="Pun"),Dashboard!V$7,IF(B44="Tit",Dashboard!W$7,Dashboard!X$7)),0)))</f>
        <v>1</v>
      </c>
      <c r="G44" s="84"/>
      <c r="M44" s="124"/>
      <c r="N44" s="124"/>
    </row>
    <row r="45" spans="1:17" s="123" customFormat="1">
      <c r="A45" s="110" t="s">
        <v>208</v>
      </c>
      <c r="B45" s="92" t="s">
        <v>13</v>
      </c>
      <c r="C45" s="130">
        <v>18</v>
      </c>
      <c r="D45" s="78" t="s">
        <v>9</v>
      </c>
      <c r="E45" s="103"/>
      <c r="F45" s="122">
        <f>IF(D45&lt;&gt;"L","-",IF(COUNTA(P!E$2:E$1000)+COUNTA(D!E$2:E$1000)+COUNTA('C'!E$2:E$1000)+COUNTA(A!E$2:E$1000)=0,C45,ROUND(C45*MAX(0.1,IFERROR(Dashboard!B$3/Dashboard!B$10,1))*(1+Dashboard!F$7*IF(B45="Occ",0.5,IF(B45="Pun",0.35,IF(B45="Tit",0.25,IF(B45="Scm",0.15,0.05)))))*IF(OR(B45="Occ",B45="Pun"),Dashboard!V$7,IF(B45="Tit",Dashboard!W$7,Dashboard!X$7)),0)))</f>
        <v>18</v>
      </c>
      <c r="G45" s="84"/>
      <c r="J45" s="124"/>
    </row>
    <row r="46" spans="1:17" s="123" customFormat="1">
      <c r="A46" s="111" t="s">
        <v>209</v>
      </c>
      <c r="B46" s="99" t="s">
        <v>41</v>
      </c>
      <c r="C46" s="129">
        <v>6</v>
      </c>
      <c r="D46" s="78" t="s">
        <v>9</v>
      </c>
      <c r="E46" s="103"/>
      <c r="F46" s="122">
        <f>IF(D46&lt;&gt;"L","-",IF(COUNTA(P!E$2:E$1000)+COUNTA(D!E$2:E$1000)+COUNTA('C'!E$2:E$1000)+COUNTA(A!E$2:E$1000)=0,C46,ROUND(C46*MAX(0.1,IFERROR(Dashboard!B$3/Dashboard!B$10,1))*(1+Dashboard!F$7*IF(B46="Occ",0.5,IF(B46="Pun",0.35,IF(B46="Tit",0.25,IF(B46="Scm",0.15,0.05)))))*IF(OR(B46="Occ",B46="Pun"),Dashboard!V$7,IF(B46="Tit",Dashboard!W$7,Dashboard!X$7)),0)))</f>
        <v>6</v>
      </c>
      <c r="G46" s="84"/>
      <c r="N46" s="124"/>
    </row>
    <row r="47" spans="1:17" s="123" customFormat="1">
      <c r="A47" s="110" t="s">
        <v>210</v>
      </c>
      <c r="B47" s="99" t="s">
        <v>41</v>
      </c>
      <c r="C47" s="130">
        <v>1</v>
      </c>
      <c r="D47" s="78" t="s">
        <v>9</v>
      </c>
      <c r="E47" s="103"/>
      <c r="F47" s="122">
        <f>IF(D47&lt;&gt;"L","-",IF(COUNTA(P!E$2:E$1000)+COUNTA(D!E$2:E$1000)+COUNTA('C'!E$2:E$1000)+COUNTA(A!E$2:E$1000)=0,C47,ROUND(C47*MAX(0.1,IFERROR(Dashboard!B$3/Dashboard!B$10,1))*(1+Dashboard!F$7*IF(B47="Occ",0.5,IF(B47="Pun",0.35,IF(B47="Tit",0.25,IF(B47="Scm",0.15,0.05)))))*IF(OR(B47="Occ",B47="Pun"),Dashboard!V$7,IF(B47="Tit",Dashboard!W$7,Dashboard!X$7)),0)))</f>
        <v>1</v>
      </c>
      <c r="G47" s="84"/>
      <c r="H47" s="136"/>
      <c r="I47" s="124"/>
      <c r="J47" s="124"/>
    </row>
    <row r="48" spans="1:17" s="123" customFormat="1">
      <c r="A48" s="110" t="s">
        <v>211</v>
      </c>
      <c r="B48" s="94" t="s">
        <v>15</v>
      </c>
      <c r="C48" s="129">
        <v>1</v>
      </c>
      <c r="D48" s="78" t="s">
        <v>9</v>
      </c>
      <c r="E48" s="103"/>
      <c r="F48" s="122">
        <f>IF(D48&lt;&gt;"L","-",IF(COUNTA(P!E$2:E$1000)+COUNTA(D!E$2:E$1000)+COUNTA('C'!E$2:E$1000)+COUNTA(A!E$2:E$1000)=0,C48,ROUND(C48*MAX(0.1,IFERROR(Dashboard!B$3/Dashboard!B$10,1))*(1+Dashboard!F$7*IF(B48="Occ",0.5,IF(B48="Pun",0.35,IF(B48="Tit",0.25,IF(B48="Scm",0.15,0.05)))))*IF(OR(B48="Occ",B48="Pun"),Dashboard!V$7,IF(B48="Tit",Dashboard!W$7,Dashboard!X$7)),0)))</f>
        <v>1</v>
      </c>
      <c r="G48" s="84"/>
      <c r="I48" s="124"/>
      <c r="N48" s="124"/>
    </row>
    <row r="49" spans="1:14" s="123" customFormat="1">
      <c r="A49" s="110" t="s">
        <v>212</v>
      </c>
      <c r="B49" s="91" t="s">
        <v>8</v>
      </c>
      <c r="C49" s="129">
        <v>35</v>
      </c>
      <c r="D49" s="78" t="s">
        <v>9</v>
      </c>
      <c r="E49" s="103"/>
      <c r="F49" s="122">
        <f>IF(D49&lt;&gt;"L","-",IF(COUNTA(P!E$2:E$1000)+COUNTA(D!E$2:E$1000)+COUNTA('C'!E$2:E$1000)+COUNTA(A!E$2:E$1000)=0,C49,ROUND(C49*MAX(0.1,IFERROR(Dashboard!B$3/Dashboard!B$10,1))*(1+Dashboard!F$7*IF(B49="Occ",0.5,IF(B49="Pun",0.35,IF(B49="Tit",0.25,IF(B49="Scm",0.15,0.05)))))*IF(OR(B49="Occ",B49="Pun"),Dashboard!V$7,IF(B49="Tit",Dashboard!W$7,Dashboard!X$7)),0)))</f>
        <v>35</v>
      </c>
      <c r="G49" s="84" t="s">
        <v>179</v>
      </c>
      <c r="J49" s="124"/>
      <c r="N49" s="124"/>
    </row>
    <row r="50" spans="1:14" s="123" customFormat="1">
      <c r="A50" s="110" t="s">
        <v>213</v>
      </c>
      <c r="B50" s="99" t="s">
        <v>41</v>
      </c>
      <c r="C50" s="130">
        <v>1</v>
      </c>
      <c r="D50" s="78" t="s">
        <v>9</v>
      </c>
      <c r="E50" s="103"/>
      <c r="F50" s="122">
        <f>IF(D50&lt;&gt;"L","-",IF(COUNTA(P!E$2:E$1000)+COUNTA(D!E$2:E$1000)+COUNTA('C'!E$2:E$1000)+COUNTA(A!E$2:E$1000)=0,C50,ROUND(C50*MAX(0.1,IFERROR(Dashboard!B$3/Dashboard!B$10,1))*(1+Dashboard!F$7*IF(B50="Occ",0.5,IF(B50="Pun",0.35,IF(B50="Tit",0.25,IF(B50="Scm",0.15,0.05)))))*IF(OR(B50="Occ",B50="Pun"),Dashboard!V$7,IF(B50="Tit",Dashboard!W$7,Dashboard!X$7)),0)))</f>
        <v>1</v>
      </c>
      <c r="G50" s="84"/>
      <c r="J50" s="124"/>
      <c r="L50" s="136"/>
      <c r="M50" s="124"/>
    </row>
    <row r="51" spans="1:14" s="123" customFormat="1">
      <c r="A51" s="110" t="s">
        <v>214</v>
      </c>
      <c r="B51" s="93" t="s">
        <v>23</v>
      </c>
      <c r="C51" s="130">
        <v>8</v>
      </c>
      <c r="D51" s="78" t="s">
        <v>9</v>
      </c>
      <c r="E51" s="103"/>
      <c r="F51" s="122">
        <f>IF(D51&lt;&gt;"L","-",IF(COUNTA(P!E$2:E$1000)+COUNTA(D!E$2:E$1000)+COUNTA('C'!E$2:E$1000)+COUNTA(A!E$2:E$1000)=0,C51,ROUND(C51*MAX(0.1,IFERROR(Dashboard!B$3/Dashboard!B$10,1))*(1+Dashboard!F$7*IF(B51="Occ",0.5,IF(B51="Pun",0.35,IF(B51="Tit",0.25,IF(B51="Scm",0.15,0.05)))))*IF(OR(B51="Occ",B51="Pun"),Dashboard!V$7,IF(B51="Tit",Dashboard!W$7,Dashboard!X$7)),0)))</f>
        <v>8</v>
      </c>
      <c r="G51" s="84" t="s">
        <v>215</v>
      </c>
      <c r="I51" s="124"/>
      <c r="M51" s="124"/>
    </row>
    <row r="52" spans="1:14" s="123" customFormat="1">
      <c r="A52" s="110" t="s">
        <v>216</v>
      </c>
      <c r="B52" s="94" t="s">
        <v>15</v>
      </c>
      <c r="C52" s="130">
        <v>1</v>
      </c>
      <c r="D52" s="78" t="s">
        <v>9</v>
      </c>
      <c r="E52" s="103"/>
      <c r="F52" s="122">
        <f>IF(D52&lt;&gt;"L","-",IF(COUNTA(P!E$2:E$1000)+COUNTA(D!E$2:E$1000)+COUNTA('C'!E$2:E$1000)+COUNTA(A!E$2:E$1000)=0,C52,ROUND(C52*MAX(0.1,IFERROR(Dashboard!B$3/Dashboard!B$10,1))*(1+Dashboard!F$7*IF(B52="Occ",0.5,IF(B52="Pun",0.35,IF(B52="Tit",0.25,IF(B52="Scm",0.15,0.05)))))*IF(OR(B52="Occ",B52="Pun"),Dashboard!V$7,IF(B52="Tit",Dashboard!W$7,Dashboard!X$7)),0)))</f>
        <v>1</v>
      </c>
      <c r="G52" s="84"/>
      <c r="I52" s="124"/>
    </row>
    <row r="53" spans="1:14" s="123" customFormat="1">
      <c r="A53" s="110" t="s">
        <v>217</v>
      </c>
      <c r="B53" s="93" t="s">
        <v>23</v>
      </c>
      <c r="C53" s="130">
        <v>1</v>
      </c>
      <c r="D53" s="78" t="s">
        <v>9</v>
      </c>
      <c r="E53" s="103"/>
      <c r="F53" s="122">
        <f>IF(D53&lt;&gt;"L","-",IF(COUNTA(P!E$2:E$1000)+COUNTA(D!E$2:E$1000)+COUNTA('C'!E$2:E$1000)+COUNTA(A!E$2:E$1000)=0,C53,ROUND(C53*MAX(0.1,IFERROR(Dashboard!B$3/Dashboard!B$10,1))*(1+Dashboard!F$7*IF(B53="Occ",0.5,IF(B53="Pun",0.35,IF(B53="Tit",0.25,IF(B53="Scm",0.15,0.05)))))*IF(OR(B53="Occ",B53="Pun"),Dashboard!V$7,IF(B53="Tit",Dashboard!W$7,Dashboard!X$7)),0)))</f>
        <v>1</v>
      </c>
      <c r="G53" s="84"/>
      <c r="I53" s="124"/>
    </row>
    <row r="54" spans="1:14" s="123" customFormat="1">
      <c r="A54" s="110" t="s">
        <v>218</v>
      </c>
      <c r="B54" s="99" t="s">
        <v>41</v>
      </c>
      <c r="C54" s="130">
        <v>3</v>
      </c>
      <c r="D54" s="78" t="s">
        <v>9</v>
      </c>
      <c r="E54" s="103"/>
      <c r="F54" s="122">
        <f>IF(D54&lt;&gt;"L","-",IF(COUNTA(P!E$2:E$1000)+COUNTA(D!E$2:E$1000)+COUNTA('C'!E$2:E$1000)+COUNTA(A!E$2:E$1000)=0,C54,ROUND(C54*MAX(0.1,IFERROR(Dashboard!B$3/Dashboard!B$10,1))*(1+Dashboard!F$7*IF(B54="Occ",0.5,IF(B54="Pun",0.35,IF(B54="Tit",0.25,IF(B54="Scm",0.15,0.05)))))*IF(OR(B54="Occ",B54="Pun"),Dashboard!V$7,IF(B54="Tit",Dashboard!W$7,Dashboard!X$7)),0)))</f>
        <v>3</v>
      </c>
      <c r="G54" s="84"/>
      <c r="M54" s="124"/>
      <c r="N54" s="124"/>
    </row>
    <row r="55" spans="1:14" s="123" customFormat="1">
      <c r="A55" s="110" t="s">
        <v>219</v>
      </c>
      <c r="B55" s="99" t="s">
        <v>41</v>
      </c>
      <c r="C55" s="129">
        <v>1</v>
      </c>
      <c r="D55" s="78" t="s">
        <v>9</v>
      </c>
      <c r="E55" s="103"/>
      <c r="F55" s="122">
        <f>IF(D55&lt;&gt;"L","-",IF(COUNTA(P!E$2:E$1000)+COUNTA(D!E$2:E$1000)+COUNTA('C'!E$2:E$1000)+COUNTA(A!E$2:E$1000)=0,C55,ROUND(C55*MAX(0.1,IFERROR(Dashboard!B$3/Dashboard!B$10,1))*(1+Dashboard!F$7*IF(B55="Occ",0.5,IF(B55="Pun",0.35,IF(B55="Tit",0.25,IF(B55="Scm",0.15,0.05)))))*IF(OR(B55="Occ",B55="Pun"),Dashboard!V$7,IF(B55="Tit",Dashboard!W$7,Dashboard!X$7)),0)))</f>
        <v>1</v>
      </c>
      <c r="G55" s="84"/>
      <c r="H55" s="136"/>
      <c r="I55" s="124"/>
      <c r="J55" s="124"/>
      <c r="M55" s="124"/>
      <c r="N55" s="124"/>
    </row>
    <row r="56" spans="1:14" s="123" customFormat="1">
      <c r="A56" s="110" t="s">
        <v>220</v>
      </c>
      <c r="B56" s="94" t="s">
        <v>15</v>
      </c>
      <c r="C56" s="130">
        <v>1</v>
      </c>
      <c r="D56" s="78" t="s">
        <v>9</v>
      </c>
      <c r="E56" s="103"/>
      <c r="F56" s="122">
        <f>IF(D56&lt;&gt;"L","-",IF(COUNTA(P!E$2:E$1000)+COUNTA(D!E$2:E$1000)+COUNTA('C'!E$2:E$1000)+COUNTA(A!E$2:E$1000)=0,C56,ROUND(C56*MAX(0.1,IFERROR(Dashboard!B$3/Dashboard!B$10,1))*(1+Dashboard!F$7*IF(B56="Occ",0.5,IF(B56="Pun",0.35,IF(B56="Tit",0.25,IF(B56="Scm",0.15,0.05)))))*IF(OR(B56="Occ",B56="Pun"),Dashboard!V$7,IF(B56="Tit",Dashboard!W$7,Dashboard!X$7)),0)))</f>
        <v>1</v>
      </c>
      <c r="G56" s="84"/>
    </row>
    <row r="57" spans="1:14" s="123" customFormat="1">
      <c r="A57" s="110" t="s">
        <v>221</v>
      </c>
      <c r="B57" s="99" t="s">
        <v>41</v>
      </c>
      <c r="C57" s="130">
        <v>7</v>
      </c>
      <c r="D57" s="78" t="s">
        <v>9</v>
      </c>
      <c r="E57" s="103"/>
      <c r="F57" s="122">
        <f>IF(D57&lt;&gt;"L","-",IF(COUNTA(P!E$2:E$1000)+COUNTA(D!E$2:E$1000)+COUNTA('C'!E$2:E$1000)+COUNTA(A!E$2:E$1000)=0,C57,ROUND(C57*MAX(0.1,IFERROR(Dashboard!B$3/Dashboard!B$10,1))*(1+Dashboard!F$7*IF(B57="Occ",0.5,IF(B57="Pun",0.35,IF(B57="Tit",0.25,IF(B57="Scm",0.15,0.05)))))*IF(OR(B57="Occ",B57="Pun"),Dashboard!V$7,IF(B57="Tit",Dashboard!W$7,Dashboard!X$7)),0)))</f>
        <v>7</v>
      </c>
      <c r="G57" s="84"/>
      <c r="M57" s="124"/>
      <c r="N57" s="124"/>
    </row>
    <row r="58" spans="1:14" s="123" customFormat="1">
      <c r="A58" s="110" t="s">
        <v>222</v>
      </c>
      <c r="B58" s="94" t="s">
        <v>15</v>
      </c>
      <c r="C58" s="129">
        <v>1</v>
      </c>
      <c r="D58" s="78" t="s">
        <v>9</v>
      </c>
      <c r="E58" s="103"/>
      <c r="F58" s="122">
        <f>IF(D58&lt;&gt;"L","-",IF(COUNTA(P!E$2:E$1000)+COUNTA(D!E$2:E$1000)+COUNTA('C'!E$2:E$1000)+COUNTA(A!E$2:E$1000)=0,C58,ROUND(C58*MAX(0.1,IFERROR(Dashboard!B$3/Dashboard!B$10,1))*(1+Dashboard!F$7*IF(B58="Occ",0.5,IF(B58="Pun",0.35,IF(B58="Tit",0.25,IF(B58="Scm",0.15,0.05)))))*IF(OR(B58="Occ",B58="Pun"),Dashboard!V$7,IF(B58="Tit",Dashboard!W$7,Dashboard!X$7)),0)))</f>
        <v>1</v>
      </c>
      <c r="G58" s="84"/>
      <c r="I58" s="124"/>
      <c r="J58" s="124"/>
      <c r="M58" s="124"/>
    </row>
    <row r="59" spans="1:14" s="123" customFormat="1">
      <c r="A59" s="110" t="s">
        <v>223</v>
      </c>
      <c r="B59" s="91" t="s">
        <v>8</v>
      </c>
      <c r="C59" s="130">
        <v>4</v>
      </c>
      <c r="D59" s="78" t="s">
        <v>9</v>
      </c>
      <c r="E59" s="103"/>
      <c r="F59" s="122">
        <f>IF(D59&lt;&gt;"L","-",IF(COUNTA(P!E$2:E$1000)+COUNTA(D!E$2:E$1000)+COUNTA('C'!E$2:E$1000)+COUNTA(A!E$2:E$1000)=0,C59,ROUND(C59*MAX(0.1,IFERROR(Dashboard!B$3/Dashboard!B$10,1))*(1+Dashboard!F$7*IF(B59="Occ",0.5,IF(B59="Pun",0.35,IF(B59="Tit",0.25,IF(B59="Scm",0.15,0.05)))))*IF(OR(B59="Occ",B59="Pun"),Dashboard!V$7,IF(B59="Tit",Dashboard!W$7,Dashboard!X$7)),0)))</f>
        <v>4</v>
      </c>
      <c r="G59" s="84"/>
      <c r="I59" s="124"/>
    </row>
    <row r="60" spans="1:14" s="123" customFormat="1">
      <c r="A60" s="110" t="s">
        <v>224</v>
      </c>
      <c r="B60" s="99" t="s">
        <v>41</v>
      </c>
      <c r="C60" s="130">
        <v>2</v>
      </c>
      <c r="D60" s="78" t="s">
        <v>9</v>
      </c>
      <c r="E60" s="103"/>
      <c r="F60" s="122">
        <f>IF(D60&lt;&gt;"L","-",IF(COUNTA(P!E$2:E$1000)+COUNTA(D!E$2:E$1000)+COUNTA('C'!E$2:E$1000)+COUNTA(A!E$2:E$1000)=0,C60,ROUND(C60*MAX(0.1,IFERROR(Dashboard!B$3/Dashboard!B$10,1))*(1+Dashboard!F$7*IF(B60="Occ",0.5,IF(B60="Pun",0.35,IF(B60="Tit",0.25,IF(B60="Scm",0.15,0.05)))))*IF(OR(B60="Occ",B60="Pun"),Dashboard!V$7,IF(B60="Tit",Dashboard!W$7,Dashboard!X$7)),0)))</f>
        <v>2</v>
      </c>
      <c r="G60" s="84"/>
      <c r="I60" s="124"/>
      <c r="M60" s="124"/>
    </row>
    <row r="61" spans="1:14" s="123" customFormat="1">
      <c r="A61" s="110" t="s">
        <v>225</v>
      </c>
      <c r="B61" s="99" t="s">
        <v>41</v>
      </c>
      <c r="C61" s="130">
        <v>4</v>
      </c>
      <c r="D61" s="78" t="s">
        <v>9</v>
      </c>
      <c r="E61" s="103"/>
      <c r="F61" s="122">
        <f>IF(D61&lt;&gt;"L","-",IF(COUNTA(P!E$2:E$1000)+COUNTA(D!E$2:E$1000)+COUNTA('C'!E$2:E$1000)+COUNTA(A!E$2:E$1000)=0,C61,ROUND(C61*MAX(0.1,IFERROR(Dashboard!B$3/Dashboard!B$10,1))*(1+Dashboard!F$7*IF(B61="Occ",0.5,IF(B61="Pun",0.35,IF(B61="Tit",0.25,IF(B61="Scm",0.15,0.05)))))*IF(OR(B61="Occ",B61="Pun"),Dashboard!V$7,IF(B61="Tit",Dashboard!W$7,Dashboard!X$7)),0)))</f>
        <v>4</v>
      </c>
      <c r="G61" s="84"/>
      <c r="H61" s="136"/>
      <c r="I61" s="124"/>
    </row>
    <row r="62" spans="1:14" s="123" customFormat="1">
      <c r="A62" s="110" t="s">
        <v>226</v>
      </c>
      <c r="B62" s="94" t="s">
        <v>15</v>
      </c>
      <c r="C62" s="130">
        <v>1</v>
      </c>
      <c r="D62" s="78" t="s">
        <v>9</v>
      </c>
      <c r="E62" s="103"/>
      <c r="F62" s="122">
        <f>IF(D62&lt;&gt;"L","-",IF(COUNTA(P!E$2:E$1000)+COUNTA(D!E$2:E$1000)+COUNTA('C'!E$2:E$1000)+COUNTA(A!E$2:E$1000)=0,C62,ROUND(C62*MAX(0.1,IFERROR(Dashboard!B$3/Dashboard!B$10,1))*(1+Dashboard!F$7*IF(B62="Occ",0.5,IF(B62="Pun",0.35,IF(B62="Tit",0.25,IF(B62="Scm",0.15,0.05)))))*IF(OR(B62="Occ",B62="Pun"),Dashboard!V$7,IF(B62="Tit",Dashboard!W$7,Dashboard!X$7)),0)))</f>
        <v>1</v>
      </c>
      <c r="G62" s="84"/>
    </row>
    <row r="63" spans="1:14" s="123" customFormat="1">
      <c r="A63" s="110" t="s">
        <v>227</v>
      </c>
      <c r="B63" s="94" t="s">
        <v>15</v>
      </c>
      <c r="C63" s="130">
        <v>1</v>
      </c>
      <c r="D63" s="78" t="s">
        <v>9</v>
      </c>
      <c r="E63" s="103"/>
      <c r="F63" s="122">
        <f>IF(D63&lt;&gt;"L","-",IF(COUNTA(P!E$2:E$1000)+COUNTA(D!E$2:E$1000)+COUNTA('C'!E$2:E$1000)+COUNTA(A!E$2:E$1000)=0,C63,ROUND(C63*MAX(0.1,IFERROR(Dashboard!B$3/Dashboard!B$10,1))*(1+Dashboard!F$7*IF(B63="Occ",0.5,IF(B63="Pun",0.35,IF(B63="Tit",0.25,IF(B63="Scm",0.15,0.05)))))*IF(OR(B63="Occ",B63="Pun"),Dashboard!V$7,IF(B63="Tit",Dashboard!W$7,Dashboard!X$7)),0)))</f>
        <v>1</v>
      </c>
      <c r="G63" s="84" t="s">
        <v>121</v>
      </c>
      <c r="J63" s="124"/>
    </row>
    <row r="64" spans="1:14" s="123" customFormat="1">
      <c r="A64" s="110" t="s">
        <v>228</v>
      </c>
      <c r="B64" s="93" t="s">
        <v>23</v>
      </c>
      <c r="C64" s="129">
        <v>5</v>
      </c>
      <c r="D64" s="78" t="s">
        <v>9</v>
      </c>
      <c r="E64" s="103"/>
      <c r="F64" s="122">
        <f>IF(D64&lt;&gt;"L","-",IF(COUNTA(P!E$2:E$1000)+COUNTA(D!E$2:E$1000)+COUNTA('C'!E$2:E$1000)+COUNTA(A!E$2:E$1000)=0,C64,ROUND(C64*MAX(0.1,IFERROR(Dashboard!B$3/Dashboard!B$10,1))*(1+Dashboard!F$7*IF(B64="Occ",0.5,IF(B64="Pun",0.35,IF(B64="Tit",0.25,IF(B64="Scm",0.15,0.05)))))*IF(OR(B64="Occ",B64="Pun"),Dashboard!V$7,IF(B64="Tit",Dashboard!W$7,Dashboard!X$7)),0)))</f>
        <v>5</v>
      </c>
      <c r="G64" s="84"/>
      <c r="I64" s="124"/>
      <c r="J64" s="124"/>
    </row>
    <row r="65" spans="1:10" s="123" customFormat="1">
      <c r="A65" s="110" t="s">
        <v>229</v>
      </c>
      <c r="B65" s="99" t="s">
        <v>41</v>
      </c>
      <c r="C65" s="129">
        <v>1</v>
      </c>
      <c r="D65" s="78" t="s">
        <v>9</v>
      </c>
      <c r="E65" s="103"/>
      <c r="F65" s="122">
        <f>IF(D65&lt;&gt;"L","-",IF(COUNTA(P!E$2:E$1000)+COUNTA(D!E$2:E$1000)+COUNTA('C'!E$2:E$1000)+COUNTA(A!E$2:E$1000)=0,C65,ROUND(C65*MAX(0.1,IFERROR(Dashboard!B$3/Dashboard!B$10,1))*(1+Dashboard!F$7*IF(B65="Occ",0.5,IF(B65="Pun",0.35,IF(B65="Tit",0.25,IF(B65="Scm",0.15,0.05)))))*IF(OR(B65="Occ",B65="Pun"),Dashboard!V$7,IF(B65="Tit",Dashboard!W$7,Dashboard!X$7)),0)))</f>
        <v>1</v>
      </c>
      <c r="G65" s="84"/>
      <c r="I65" s="124"/>
    </row>
    <row r="66" spans="1:10" s="123" customFormat="1">
      <c r="A66" s="111" t="s">
        <v>230</v>
      </c>
      <c r="B66" s="91" t="s">
        <v>8</v>
      </c>
      <c r="C66" s="130">
        <v>11</v>
      </c>
      <c r="D66" s="78" t="s">
        <v>9</v>
      </c>
      <c r="E66" s="103"/>
      <c r="F66" s="122">
        <f>IF(D66&lt;&gt;"L","-",IF(COUNTA(P!E$2:E$1000)+COUNTA(D!E$2:E$1000)+COUNTA('C'!E$2:E$1000)+COUNTA(A!E$2:E$1000)=0,C66,ROUND(C66*MAX(0.1,IFERROR(Dashboard!B$3/Dashboard!B$10,1))*(1+Dashboard!F$7*IF(B66="Occ",0.5,IF(B66="Pun",0.35,IF(B66="Tit",0.25,IF(B66="Scm",0.15,0.05)))))*IF(OR(B66="Occ",B66="Pun"),Dashboard!V$7,IF(B66="Tit",Dashboard!W$7,Dashboard!X$7)),0)))</f>
        <v>11</v>
      </c>
      <c r="G66" s="84"/>
      <c r="I66" s="124"/>
      <c r="J66" s="124"/>
    </row>
    <row r="67" spans="1:10" s="123" customFormat="1">
      <c r="A67" s="110" t="s">
        <v>231</v>
      </c>
      <c r="B67" s="92" t="s">
        <v>13</v>
      </c>
      <c r="C67" s="129">
        <v>50</v>
      </c>
      <c r="D67" s="78" t="s">
        <v>9</v>
      </c>
      <c r="E67" s="103"/>
      <c r="F67" s="122">
        <f>IF(D67&lt;&gt;"L","-",IF(COUNTA(P!E$2:E$1000)+COUNTA(D!E$2:E$1000)+COUNTA('C'!E$2:E$1000)+COUNTA(A!E$2:E$1000)=0,C67,ROUND(C67*MAX(0.1,IFERROR(Dashboard!B$3/Dashboard!B$10,1))*(1+Dashboard!F$7*IF(B67="Occ",0.5,IF(B67="Pun",0.35,IF(B67="Tit",0.25,IF(B67="Scm",0.15,0.05)))))*IF(OR(B67="Occ",B67="Pun"),Dashboard!V$7,IF(B67="Tit",Dashboard!W$7,Dashboard!X$7)),0)))</f>
        <v>50</v>
      </c>
      <c r="G67" s="84"/>
    </row>
    <row r="68" spans="1:10" s="123" customFormat="1">
      <c r="A68" s="110" t="s">
        <v>232</v>
      </c>
      <c r="B68" s="94" t="s">
        <v>15</v>
      </c>
      <c r="C68" s="130">
        <v>1</v>
      </c>
      <c r="D68" s="78" t="s">
        <v>9</v>
      </c>
      <c r="E68" s="103"/>
      <c r="F68" s="122">
        <f>IF(D68&lt;&gt;"L","-",IF(COUNTA(P!E$2:E$1000)+COUNTA(D!E$2:E$1000)+COUNTA('C'!E$2:E$1000)+COUNTA(A!E$2:E$1000)=0,C68,ROUND(C68*MAX(0.1,IFERROR(Dashboard!B$3/Dashboard!B$10,1))*(1+Dashboard!F$7*IF(B68="Occ",0.5,IF(B68="Pun",0.35,IF(B68="Tit",0.25,IF(B68="Scm",0.15,0.05)))))*IF(OR(B68="Occ",B68="Pun"),Dashboard!V$7,IF(B68="Tit",Dashboard!W$7,Dashboard!X$7)),0)))</f>
        <v>1</v>
      </c>
      <c r="G68" s="84" t="s">
        <v>64</v>
      </c>
    </row>
    <row r="69" spans="1:10" s="123" customFormat="1">
      <c r="A69" s="110" t="s">
        <v>233</v>
      </c>
      <c r="B69" s="91" t="s">
        <v>8</v>
      </c>
      <c r="C69" s="130">
        <v>8</v>
      </c>
      <c r="D69" s="78" t="s">
        <v>9</v>
      </c>
      <c r="E69" s="103"/>
      <c r="F69" s="122">
        <f>IF(D69&lt;&gt;"L","-",IF(COUNTA(P!E$2:E$1000)+COUNTA(D!E$2:E$1000)+COUNTA('C'!E$2:E$1000)+COUNTA(A!E$2:E$1000)=0,C69,ROUND(C69*MAX(0.1,IFERROR(Dashboard!B$3/Dashboard!B$10,1))*(1+Dashboard!F$7*IF(B69="Occ",0.5,IF(B69="Pun",0.35,IF(B69="Tit",0.25,IF(B69="Scm",0.15,0.05)))))*IF(OR(B69="Occ",B69="Pun"),Dashboard!V$7,IF(B69="Tit",Dashboard!W$7,Dashboard!X$7)),0)))</f>
        <v>8</v>
      </c>
      <c r="G69" s="84"/>
      <c r="J69" s="124"/>
    </row>
    <row r="70" spans="1:10" s="123" customFormat="1">
      <c r="A70" s="110" t="s">
        <v>234</v>
      </c>
      <c r="B70" s="93" t="s">
        <v>23</v>
      </c>
      <c r="C70" s="129">
        <v>1</v>
      </c>
      <c r="D70" s="78" t="s">
        <v>9</v>
      </c>
      <c r="E70" s="103"/>
      <c r="F70" s="122">
        <f>IF(D70&lt;&gt;"L","-",IF(COUNTA(P!E$2:E$1000)+COUNTA(D!E$2:E$1000)+COUNTA('C'!E$2:E$1000)+COUNTA(A!E$2:E$1000)=0,C70,ROUND(C70*MAX(0.1,IFERROR(Dashboard!B$3/Dashboard!B$10,1))*(1+Dashboard!F$7*IF(B70="Occ",0.5,IF(B70="Pun",0.35,IF(B70="Tit",0.25,IF(B70="Scm",0.15,0.05)))))*IF(OR(B70="Occ",B70="Pun"),Dashboard!V$7,IF(B70="Tit",Dashboard!W$7,Dashboard!X$7)),0)))</f>
        <v>1</v>
      </c>
      <c r="G70" s="84"/>
      <c r="I70" s="124"/>
    </row>
    <row r="71" spans="1:10" s="123" customFormat="1">
      <c r="A71" s="110" t="s">
        <v>235</v>
      </c>
      <c r="B71" s="94" t="s">
        <v>15</v>
      </c>
      <c r="C71" s="130">
        <v>1</v>
      </c>
      <c r="D71" s="78" t="s">
        <v>9</v>
      </c>
      <c r="E71" s="103"/>
      <c r="F71" s="122">
        <f>IF(D71&lt;&gt;"L","-",IF(COUNTA(P!E$2:E$1000)+COUNTA(D!E$2:E$1000)+COUNTA('C'!E$2:E$1000)+COUNTA(A!E$2:E$1000)=0,C71,ROUND(C71*MAX(0.1,IFERROR(Dashboard!B$3/Dashboard!B$10,1))*(1+Dashboard!F$7*IF(B71="Occ",0.5,IF(B71="Pun",0.35,IF(B71="Tit",0.25,IF(B71="Scm",0.15,0.05)))))*IF(OR(B71="Occ",B71="Pun"),Dashboard!V$7,IF(B71="Tit",Dashboard!W$7,Dashboard!X$7)),0)))</f>
        <v>1</v>
      </c>
      <c r="G71" s="84"/>
      <c r="I71" s="124"/>
      <c r="J71" s="124"/>
    </row>
    <row r="72" spans="1:10" s="123" customFormat="1">
      <c r="A72" s="110" t="s">
        <v>236</v>
      </c>
      <c r="B72" s="99" t="s">
        <v>41</v>
      </c>
      <c r="C72" s="129">
        <v>1</v>
      </c>
      <c r="D72" s="78" t="s">
        <v>9</v>
      </c>
      <c r="E72" s="103"/>
      <c r="F72" s="122">
        <f>IF(D72&lt;&gt;"L","-",IF(COUNTA(P!E$2:E$1000)+COUNTA(D!E$2:E$1000)+COUNTA('C'!E$2:E$1000)+COUNTA(A!E$2:E$1000)=0,C72,ROUND(C72*MAX(0.1,IFERROR(Dashboard!B$3/Dashboard!B$10,1))*(1+Dashboard!F$7*IF(B72="Occ",0.5,IF(B72="Pun",0.35,IF(B72="Tit",0.25,IF(B72="Scm",0.15,0.05)))))*IF(OR(B72="Occ",B72="Pun"),Dashboard!V$7,IF(B72="Tit",Dashboard!W$7,Dashboard!X$7)),0)))</f>
        <v>1</v>
      </c>
      <c r="G72" s="84"/>
    </row>
    <row r="73" spans="1:10" s="123" customFormat="1">
      <c r="A73" s="110" t="s">
        <v>237</v>
      </c>
      <c r="B73" s="99" t="s">
        <v>41</v>
      </c>
      <c r="C73" s="130">
        <v>1</v>
      </c>
      <c r="D73" s="78" t="s">
        <v>9</v>
      </c>
      <c r="E73" s="103"/>
      <c r="F73" s="122">
        <f>IF(D73&lt;&gt;"L","-",IF(COUNTA(P!E$2:E$1000)+COUNTA(D!E$2:E$1000)+COUNTA('C'!E$2:E$1000)+COUNTA(A!E$2:E$1000)=0,C73,ROUND(C73*MAX(0.1,IFERROR(Dashboard!B$3/Dashboard!B$10,1))*(1+Dashboard!F$7*IF(B73="Occ",0.5,IF(B73="Pun",0.35,IF(B73="Tit",0.25,IF(B73="Scm",0.15,0.05)))))*IF(OR(B73="Occ",B73="Pun"),Dashboard!V$7,IF(B73="Tit",Dashboard!W$7,Dashboard!X$7)),0)))</f>
        <v>1</v>
      </c>
      <c r="G73" s="84"/>
      <c r="J73" s="124"/>
    </row>
    <row r="74" spans="1:10" s="123" customFormat="1">
      <c r="A74" s="111" t="s">
        <v>238</v>
      </c>
      <c r="B74" s="91" t="s">
        <v>8</v>
      </c>
      <c r="C74" s="129">
        <v>10</v>
      </c>
      <c r="D74" s="78" t="s">
        <v>9</v>
      </c>
      <c r="E74" s="103"/>
      <c r="F74" s="122">
        <f>IF(D74&lt;&gt;"L","-",IF(COUNTA(P!E$2:E$1000)+COUNTA(D!E$2:E$1000)+COUNTA('C'!E$2:E$1000)+COUNTA(A!E$2:E$1000)=0,C74,ROUND(C74*MAX(0.1,IFERROR(Dashboard!B$3/Dashboard!B$10,1))*(1+Dashboard!F$7*IF(B74="Occ",0.5,IF(B74="Pun",0.35,IF(B74="Tit",0.25,IF(B74="Scm",0.15,0.05)))))*IF(OR(B74="Occ",B74="Pun"),Dashboard!V$7,IF(B74="Tit",Dashboard!W$7,Dashboard!X$7)),0)))</f>
        <v>10</v>
      </c>
      <c r="G74" s="84"/>
    </row>
    <row r="75" spans="1:10" s="123" customFormat="1">
      <c r="A75" s="110" t="s">
        <v>239</v>
      </c>
      <c r="B75" s="91" t="s">
        <v>8</v>
      </c>
      <c r="C75" s="130">
        <v>9</v>
      </c>
      <c r="D75" s="78" t="s">
        <v>9</v>
      </c>
      <c r="E75" s="103"/>
      <c r="F75" s="122">
        <f>IF(D75&lt;&gt;"L","-",IF(COUNTA(P!E$2:E$1000)+COUNTA(D!E$2:E$1000)+COUNTA('C'!E$2:E$1000)+COUNTA(A!E$2:E$1000)=0,C75,ROUND(C75*MAX(0.1,IFERROR(Dashboard!B$3/Dashboard!B$10,1))*(1+Dashboard!F$7*IF(B75="Occ",0.5,IF(B75="Pun",0.35,IF(B75="Tit",0.25,IF(B75="Scm",0.15,0.05)))))*IF(OR(B75="Occ",B75="Pun"),Dashboard!V$7,IF(B75="Tit",Dashboard!W$7,Dashboard!X$7)),0)))</f>
        <v>9</v>
      </c>
      <c r="G75" s="89" t="s">
        <v>240</v>
      </c>
      <c r="J75" s="124"/>
    </row>
    <row r="76" spans="1:10" s="123" customFormat="1">
      <c r="A76" s="110" t="s">
        <v>241</v>
      </c>
      <c r="B76" s="99" t="s">
        <v>41</v>
      </c>
      <c r="C76" s="129">
        <v>1</v>
      </c>
      <c r="D76" s="78" t="s">
        <v>9</v>
      </c>
      <c r="E76" s="103"/>
      <c r="F76" s="122">
        <f>IF(D76&lt;&gt;"L","-",IF(COUNTA(P!E$2:E$1000)+COUNTA(D!E$2:E$1000)+COUNTA('C'!E$2:E$1000)+COUNTA(A!E$2:E$1000)=0,C76,ROUND(C76*MAX(0.1,IFERROR(Dashboard!B$3/Dashboard!B$10,1))*(1+Dashboard!F$7*IF(B76="Occ",0.5,IF(B76="Pun",0.35,IF(B76="Tit",0.25,IF(B76="Scm",0.15,0.05)))))*IF(OR(B76="Occ",B76="Pun"),Dashboard!V$7,IF(B76="Tit",Dashboard!W$7,Dashboard!X$7)),0)))</f>
        <v>1</v>
      </c>
      <c r="G76" s="84"/>
      <c r="J76" s="124"/>
    </row>
    <row r="77" spans="1:10" s="123" customFormat="1">
      <c r="A77" s="110" t="s">
        <v>242</v>
      </c>
      <c r="B77" s="94" t="s">
        <v>15</v>
      </c>
      <c r="C77" s="129">
        <v>1</v>
      </c>
      <c r="D77" s="78" t="s">
        <v>9</v>
      </c>
      <c r="E77" s="103"/>
      <c r="F77" s="122">
        <f>IF(D77&lt;&gt;"L","-",IF(COUNTA(P!E$2:E$1000)+COUNTA(D!E$2:E$1000)+COUNTA('C'!E$2:E$1000)+COUNTA(A!E$2:E$1000)=0,C77,ROUND(C77*MAX(0.1,IFERROR(Dashboard!B$3/Dashboard!B$10,1))*(1+Dashboard!F$7*IF(B77="Occ",0.5,IF(B77="Pun",0.35,IF(B77="Tit",0.25,IF(B77="Scm",0.15,0.05)))))*IF(OR(B77="Occ",B77="Pun"),Dashboard!V$7,IF(B77="Tit",Dashboard!W$7,Dashboard!X$7)),0)))</f>
        <v>1</v>
      </c>
      <c r="G77" s="84"/>
      <c r="H77" s="136"/>
      <c r="I77" s="124"/>
    </row>
    <row r="78" spans="1:10" s="123" customFormat="1">
      <c r="A78" s="110" t="s">
        <v>243</v>
      </c>
      <c r="B78" s="91" t="s">
        <v>8</v>
      </c>
      <c r="C78" s="130">
        <v>30</v>
      </c>
      <c r="D78" s="78" t="s">
        <v>9</v>
      </c>
      <c r="E78" s="103"/>
      <c r="F78" s="122">
        <f>IF(D78&lt;&gt;"L","-",IF(COUNTA(P!E$2:E$1000)+COUNTA(D!E$2:E$1000)+COUNTA('C'!E$2:E$1000)+COUNTA(A!E$2:E$1000)=0,C78,ROUND(C78*MAX(0.1,IFERROR(Dashboard!B$3/Dashboard!B$10,1))*(1+Dashboard!F$7*IF(B78="Occ",0.5,IF(B78="Pun",0.35,IF(B78="Tit",0.25,IF(B78="Scm",0.15,0.05)))))*IF(OR(B78="Occ",B78="Pun"),Dashboard!V$7,IF(B78="Tit",Dashboard!W$7,Dashboard!X$7)),0)))</f>
        <v>30</v>
      </c>
      <c r="G78" s="84" t="s">
        <v>179</v>
      </c>
      <c r="I78" s="124"/>
    </row>
    <row r="79" spans="1:10" s="123" customFormat="1">
      <c r="A79" s="110" t="s">
        <v>244</v>
      </c>
      <c r="B79" s="91" t="s">
        <v>8</v>
      </c>
      <c r="C79" s="130">
        <v>7</v>
      </c>
      <c r="D79" s="78" t="s">
        <v>9</v>
      </c>
      <c r="E79" s="103"/>
      <c r="F79" s="122">
        <f>IF(D79&lt;&gt;"L","-",IF(COUNTA(P!E$2:E$1000)+COUNTA(D!E$2:E$1000)+COUNTA('C'!E$2:E$1000)+COUNTA(A!E$2:E$1000)=0,C79,ROUND(C79*MAX(0.1,IFERROR(Dashboard!B$3/Dashboard!B$10,1))*(1+Dashboard!F$7*IF(B79="Occ",0.5,IF(B79="Pun",0.35,IF(B79="Tit",0.25,IF(B79="Scm",0.15,0.05)))))*IF(OR(B79="Occ",B79="Pun"),Dashboard!V$7,IF(B79="Tit",Dashboard!W$7,Dashboard!X$7)),0)))</f>
        <v>7</v>
      </c>
      <c r="G79" s="84"/>
    </row>
    <row r="80" spans="1:10" s="123" customFormat="1">
      <c r="A80" s="110" t="s">
        <v>245</v>
      </c>
      <c r="B80" s="92" t="s">
        <v>13</v>
      </c>
      <c r="C80" s="130">
        <v>50</v>
      </c>
      <c r="D80" s="78" t="s">
        <v>9</v>
      </c>
      <c r="E80" s="103"/>
      <c r="F80" s="122">
        <f>IF(D80&lt;&gt;"L","-",IF(COUNTA(P!E$2:E$1000)+COUNTA(D!E$2:E$1000)+COUNTA('C'!E$2:E$1000)+COUNTA(A!E$2:E$1000)=0,C80,ROUND(C80*MAX(0.1,IFERROR(Dashboard!B$3/Dashboard!B$10,1))*(1+Dashboard!F$7*IF(B80="Occ",0.5,IF(B80="Pun",0.35,IF(B80="Tit",0.25,IF(B80="Scm",0.15,0.05)))))*IF(OR(B80="Occ",B80="Pun"),Dashboard!V$7,IF(B80="Tit",Dashboard!W$7,Dashboard!X$7)),0)))</f>
        <v>50</v>
      </c>
      <c r="G80" s="84" t="s">
        <v>64</v>
      </c>
    </row>
    <row r="81" spans="1:10" s="123" customFormat="1">
      <c r="A81" s="110" t="s">
        <v>246</v>
      </c>
      <c r="B81" s="99" t="s">
        <v>41</v>
      </c>
      <c r="C81" s="130">
        <v>2</v>
      </c>
      <c r="D81" s="78" t="s">
        <v>9</v>
      </c>
      <c r="E81" s="103"/>
      <c r="F81" s="122">
        <f>IF(D81&lt;&gt;"L","-",IF(COUNTA(P!E$2:E$1000)+COUNTA(D!E$2:E$1000)+COUNTA('C'!E$2:E$1000)+COUNTA(A!E$2:E$1000)=0,C81,ROUND(C81*MAX(0.1,IFERROR(Dashboard!B$3/Dashboard!B$10,1))*(1+Dashboard!F$7*IF(B81="Occ",0.5,IF(B81="Pun",0.35,IF(B81="Tit",0.25,IF(B81="Scm",0.15,0.05)))))*IF(OR(B81="Occ",B81="Pun"),Dashboard!V$7,IF(B81="Tit",Dashboard!W$7,Dashboard!X$7)),0)))</f>
        <v>2</v>
      </c>
      <c r="G81" s="84"/>
      <c r="I81" s="124"/>
      <c r="J81" s="124"/>
    </row>
    <row r="82" spans="1:10" s="123" customFormat="1">
      <c r="A82" s="111" t="s">
        <v>247</v>
      </c>
      <c r="B82" s="91" t="s">
        <v>8</v>
      </c>
      <c r="C82" s="129">
        <v>4</v>
      </c>
      <c r="D82" s="78" t="s">
        <v>9</v>
      </c>
      <c r="E82" s="103"/>
      <c r="F82" s="122">
        <f>IF(D82&lt;&gt;"L","-",IF(COUNTA(P!E$2:E$1000)+COUNTA(D!E$2:E$1000)+COUNTA('C'!E$2:E$1000)+COUNTA(A!E$2:E$1000)=0,C82,ROUND(C82*MAX(0.1,IFERROR(Dashboard!B$3/Dashboard!B$10,1))*(1+Dashboard!F$7*IF(B82="Occ",0.5,IF(B82="Pun",0.35,IF(B82="Tit",0.25,IF(B82="Scm",0.15,0.05)))))*IF(OR(B82="Occ",B82="Pun"),Dashboard!V$7,IF(B82="Tit",Dashboard!W$7,Dashboard!X$7)),0)))</f>
        <v>4</v>
      </c>
      <c r="G82" s="84" t="s">
        <v>64</v>
      </c>
      <c r="I82" s="124"/>
      <c r="J82" s="124"/>
    </row>
    <row r="83" spans="1:10" s="123" customFormat="1">
      <c r="A83" s="110" t="s">
        <v>248</v>
      </c>
      <c r="B83" s="99" t="s">
        <v>41</v>
      </c>
      <c r="C83" s="130">
        <v>1</v>
      </c>
      <c r="D83" s="78" t="s">
        <v>9</v>
      </c>
      <c r="E83" s="103"/>
      <c r="F83" s="122">
        <f>IF(D83&lt;&gt;"L","-",IF(COUNTA(P!E$2:E$1000)+COUNTA(D!E$2:E$1000)+COUNTA('C'!E$2:E$1000)+COUNTA(A!E$2:E$1000)=0,C83,ROUND(C83*MAX(0.1,IFERROR(Dashboard!B$3/Dashboard!B$10,1))*(1+Dashboard!F$7*IF(B83="Occ",0.5,IF(B83="Pun",0.35,IF(B83="Tit",0.25,IF(B83="Scm",0.15,0.05)))))*IF(OR(B83="Occ",B83="Pun"),Dashboard!V$7,IF(B83="Tit",Dashboard!W$7,Dashboard!X$7)),0)))</f>
        <v>1</v>
      </c>
      <c r="G83" s="84"/>
    </row>
    <row r="84" spans="1:10" s="123" customFormat="1">
      <c r="A84" s="110" t="s">
        <v>249</v>
      </c>
      <c r="B84" s="93" t="s">
        <v>23</v>
      </c>
      <c r="C84" s="130">
        <v>2</v>
      </c>
      <c r="D84" s="78" t="s">
        <v>9</v>
      </c>
      <c r="E84" s="103"/>
      <c r="F84" s="122">
        <f>IF(D84&lt;&gt;"L","-",IF(COUNTA(P!E$2:E$1000)+COUNTA(D!E$2:E$1000)+COUNTA('C'!E$2:E$1000)+COUNTA(A!E$2:E$1000)=0,C84,ROUND(C84*MAX(0.1,IFERROR(Dashboard!B$3/Dashboard!B$10,1))*(1+Dashboard!F$7*IF(B84="Occ",0.5,IF(B84="Pun",0.35,IF(B84="Tit",0.25,IF(B84="Scm",0.15,0.05)))))*IF(OR(B84="Occ",B84="Pun"),Dashboard!V$7,IF(B84="Tit",Dashboard!W$7,Dashboard!X$7)),0)))</f>
        <v>2</v>
      </c>
      <c r="G84" s="84"/>
      <c r="I84" s="124"/>
      <c r="J84" s="124"/>
    </row>
    <row r="85" spans="1:10" s="123" customFormat="1">
      <c r="A85" s="110" t="s">
        <v>250</v>
      </c>
      <c r="B85" s="91" t="s">
        <v>8</v>
      </c>
      <c r="C85" s="129">
        <v>10</v>
      </c>
      <c r="D85" s="78" t="s">
        <v>9</v>
      </c>
      <c r="E85" s="103"/>
      <c r="F85" s="122">
        <f>IF(D85&lt;&gt;"L","-",IF(COUNTA(P!E$2:E$1000)+COUNTA(D!E$2:E$1000)+COUNTA('C'!E$2:E$1000)+COUNTA(A!E$2:E$1000)=0,C85,ROUND(C85*MAX(0.1,IFERROR(Dashboard!B$3/Dashboard!B$10,1))*(1+Dashboard!F$7*IF(B85="Occ",0.5,IF(B85="Pun",0.35,IF(B85="Tit",0.25,IF(B85="Scm",0.15,0.05)))))*IF(OR(B85="Occ",B85="Pun"),Dashboard!V$7,IF(B85="Tit",Dashboard!W$7,Dashboard!X$7)),0)))</f>
        <v>10</v>
      </c>
      <c r="G85" s="84" t="s">
        <v>64</v>
      </c>
      <c r="I85" s="124"/>
    </row>
    <row r="86" spans="1:10" s="123" customFormat="1">
      <c r="A86" s="110" t="s">
        <v>251</v>
      </c>
      <c r="B86" s="92" t="s">
        <v>13</v>
      </c>
      <c r="C86" s="130">
        <v>35</v>
      </c>
      <c r="D86" s="78" t="s">
        <v>9</v>
      </c>
      <c r="E86" s="103"/>
      <c r="F86" s="122">
        <f>IF(D86&lt;&gt;"L","-",IF(COUNTA(P!E$2:E$1000)+COUNTA(D!E$2:E$1000)+COUNTA('C'!E$2:E$1000)+COUNTA(A!E$2:E$1000)=0,C86,ROUND(C86*MAX(0.1,IFERROR(Dashboard!B$3/Dashboard!B$10,1))*(1+Dashboard!F$7*IF(B86="Occ",0.5,IF(B86="Pun",0.35,IF(B86="Tit",0.25,IF(B86="Scm",0.15,0.05)))))*IF(OR(B86="Occ",B86="Pun"),Dashboard!V$7,IF(B86="Tit",Dashboard!W$7,Dashboard!X$7)),0)))</f>
        <v>35</v>
      </c>
      <c r="G86" s="84" t="s">
        <v>64</v>
      </c>
    </row>
    <row r="87" spans="1:10" s="123" customFormat="1">
      <c r="A87" s="110" t="s">
        <v>252</v>
      </c>
      <c r="B87" s="92" t="s">
        <v>13</v>
      </c>
      <c r="C87" s="130">
        <v>20</v>
      </c>
      <c r="D87" s="78" t="s">
        <v>9</v>
      </c>
      <c r="E87" s="103"/>
      <c r="F87" s="122">
        <f>IF(D87&lt;&gt;"L","-",IF(COUNTA(P!E$2:E$1000)+COUNTA(D!E$2:E$1000)+COUNTA('C'!E$2:E$1000)+COUNTA(A!E$2:E$1000)=0,C87,ROUND(C87*MAX(0.1,IFERROR(Dashboard!B$3/Dashboard!B$10,1))*(1+Dashboard!F$7*IF(B87="Occ",0.5,IF(B87="Pun",0.35,IF(B87="Tit",0.25,IF(B87="Scm",0.15,0.05)))))*IF(OR(B87="Occ",B87="Pun"),Dashboard!V$7,IF(B87="Tit",Dashboard!W$7,Dashboard!X$7)),0)))</f>
        <v>20</v>
      </c>
      <c r="G87" s="84"/>
      <c r="I87" s="124"/>
    </row>
    <row r="88" spans="1:10" s="123" customFormat="1">
      <c r="A88" s="111" t="s">
        <v>253</v>
      </c>
      <c r="B88" s="91" t="s">
        <v>8</v>
      </c>
      <c r="C88" s="130">
        <v>15</v>
      </c>
      <c r="D88" s="78" t="s">
        <v>9</v>
      </c>
      <c r="E88" s="103"/>
      <c r="F88" s="122">
        <f>IF(D88&lt;&gt;"L","-",IF(COUNTA(P!E$2:E$1000)+COUNTA(D!E$2:E$1000)+COUNTA('C'!E$2:E$1000)+COUNTA(A!E$2:E$1000)=0,C88,ROUND(C88*MAX(0.1,IFERROR(Dashboard!B$3/Dashboard!B$10,1))*(1+Dashboard!F$7*IF(B88="Occ",0.5,IF(B88="Pun",0.35,IF(B88="Tit",0.25,IF(B88="Scm",0.15,0.05)))))*IF(OR(B88="Occ",B88="Pun"),Dashboard!V$7,IF(B88="Tit",Dashboard!W$7,Dashboard!X$7)),0)))</f>
        <v>15</v>
      </c>
      <c r="G88" s="84"/>
    </row>
    <row r="89" spans="1:10" s="123" customFormat="1">
      <c r="A89" s="110" t="s">
        <v>254</v>
      </c>
      <c r="B89" s="93" t="s">
        <v>23</v>
      </c>
      <c r="C89" s="130">
        <v>1</v>
      </c>
      <c r="D89" s="78" t="s">
        <v>9</v>
      </c>
      <c r="E89" s="103"/>
      <c r="F89" s="122">
        <f>IF(D89&lt;&gt;"L","-",IF(COUNTA(P!E$2:E$1000)+COUNTA(D!E$2:E$1000)+COUNTA('C'!E$2:E$1000)+COUNTA(A!E$2:E$1000)=0,C89,ROUND(C89*MAX(0.1,IFERROR(Dashboard!B$3/Dashboard!B$10,1))*(1+Dashboard!F$7*IF(B89="Occ",0.5,IF(B89="Pun",0.35,IF(B89="Tit",0.25,IF(B89="Scm",0.15,0.05)))))*IF(OR(B89="Occ",B89="Pun"),Dashboard!V$7,IF(B89="Tit",Dashboard!W$7,Dashboard!X$7)),0)))</f>
        <v>1</v>
      </c>
      <c r="G89" s="84"/>
    </row>
    <row r="90" spans="1:10" s="123" customFormat="1">
      <c r="A90" s="110" t="s">
        <v>255</v>
      </c>
      <c r="B90" s="99" t="s">
        <v>41</v>
      </c>
      <c r="C90" s="129">
        <v>2</v>
      </c>
      <c r="D90" s="78" t="s">
        <v>9</v>
      </c>
      <c r="E90" s="103"/>
      <c r="F90" s="122">
        <f>IF(D90&lt;&gt;"L","-",IF(COUNTA(P!E$2:E$1000)+COUNTA(D!E$2:E$1000)+COUNTA('C'!E$2:E$1000)+COUNTA(A!E$2:E$1000)=0,C90,ROUND(C90*MAX(0.1,IFERROR(Dashboard!B$3/Dashboard!B$10,1))*(1+Dashboard!F$7*IF(B90="Occ",0.5,IF(B90="Pun",0.35,IF(B90="Tit",0.25,IF(B90="Scm",0.15,0.05)))))*IF(OR(B90="Occ",B90="Pun"),Dashboard!V$7,IF(B90="Tit",Dashboard!W$7,Dashboard!X$7)),0)))</f>
        <v>2</v>
      </c>
      <c r="G90" s="84"/>
    </row>
    <row r="91" spans="1:10" s="123" customFormat="1">
      <c r="A91" s="110" t="s">
        <v>256</v>
      </c>
      <c r="B91" s="91" t="s">
        <v>8</v>
      </c>
      <c r="C91" s="129">
        <v>12</v>
      </c>
      <c r="D91" s="78" t="s">
        <v>9</v>
      </c>
      <c r="E91" s="103"/>
      <c r="F91" s="122">
        <f>IF(D91&lt;&gt;"L","-",IF(COUNTA(P!E$2:E$1000)+COUNTA(D!E$2:E$1000)+COUNTA('C'!E$2:E$1000)+COUNTA(A!E$2:E$1000)=0,C91,ROUND(C91*MAX(0.1,IFERROR(Dashboard!B$3/Dashboard!B$10,1))*(1+Dashboard!F$7*IF(B91="Occ",0.5,IF(B91="Pun",0.35,IF(B91="Tit",0.25,IF(B91="Scm",0.15,0.05)))))*IF(OR(B91="Occ",B91="Pun"),Dashboard!V$7,IF(B91="Tit",Dashboard!W$7,Dashboard!X$7)),0)))</f>
        <v>12</v>
      </c>
      <c r="G91" s="84"/>
    </row>
    <row r="92" spans="1:10" s="123" customFormat="1">
      <c r="A92" s="110" t="s">
        <v>257</v>
      </c>
      <c r="B92" s="91" t="s">
        <v>8</v>
      </c>
      <c r="C92" s="130">
        <v>6</v>
      </c>
      <c r="D92" s="78" t="s">
        <v>9</v>
      </c>
      <c r="E92" s="103"/>
      <c r="F92" s="122">
        <f>IF(D92&lt;&gt;"L","-",IF(COUNTA(P!E$2:E$1000)+COUNTA(D!E$2:E$1000)+COUNTA('C'!E$2:E$1000)+COUNTA(A!E$2:E$1000)=0,C92,ROUND(C92*MAX(0.1,IFERROR(Dashboard!B$3/Dashboard!B$10,1))*(1+Dashboard!F$7*IF(B92="Occ",0.5,IF(B92="Pun",0.35,IF(B92="Tit",0.25,IF(B92="Scm",0.15,0.05)))))*IF(OR(B92="Occ",B92="Pun"),Dashboard!V$7,IF(B92="Tit",Dashboard!W$7,Dashboard!X$7)),0)))</f>
        <v>6</v>
      </c>
      <c r="G92" s="84"/>
    </row>
    <row r="93" spans="1:10" s="123" customFormat="1">
      <c r="A93" s="110" t="s">
        <v>258</v>
      </c>
      <c r="B93" s="92" t="s">
        <v>13</v>
      </c>
      <c r="C93" s="129">
        <v>28</v>
      </c>
      <c r="D93" s="78" t="s">
        <v>9</v>
      </c>
      <c r="E93" s="103"/>
      <c r="F93" s="122">
        <f>IF(D93&lt;&gt;"L","-",IF(COUNTA(P!E$2:E$1000)+COUNTA(D!E$2:E$1000)+COUNTA('C'!E$2:E$1000)+COUNTA(A!E$2:E$1000)=0,C93,ROUND(C93*MAX(0.1,IFERROR(Dashboard!B$3/Dashboard!B$10,1))*(1+Dashboard!F$7*IF(B93="Occ",0.5,IF(B93="Pun",0.35,IF(B93="Tit",0.25,IF(B93="Scm",0.15,0.05)))))*IF(OR(B93="Occ",B93="Pun"),Dashboard!V$7,IF(B93="Tit",Dashboard!W$7,Dashboard!X$7)),0)))</f>
        <v>28</v>
      </c>
      <c r="G93" s="84"/>
    </row>
    <row r="94" spans="1:10" s="123" customFormat="1">
      <c r="A94" s="110" t="s">
        <v>259</v>
      </c>
      <c r="B94" s="93" t="s">
        <v>23</v>
      </c>
      <c r="C94" s="130">
        <v>3</v>
      </c>
      <c r="D94" s="78" t="s">
        <v>9</v>
      </c>
      <c r="E94" s="103"/>
      <c r="F94" s="122">
        <f>IF(D94&lt;&gt;"L","-",IF(COUNTA(P!E$2:E$1000)+COUNTA(D!E$2:E$1000)+COUNTA('C'!E$2:E$1000)+COUNTA(A!E$2:E$1000)=0,C94,ROUND(C94*MAX(0.1,IFERROR(Dashboard!B$3/Dashboard!B$10,1))*(1+Dashboard!F$7*IF(B94="Occ",0.5,IF(B94="Pun",0.35,IF(B94="Tit",0.25,IF(B94="Scm",0.15,0.05)))))*IF(OR(B94="Occ",B94="Pun"),Dashboard!V$7,IF(B94="Tit",Dashboard!W$7,Dashboard!X$7)),0)))</f>
        <v>3</v>
      </c>
      <c r="G94" s="84"/>
    </row>
    <row r="95" spans="1:10" s="123" customFormat="1">
      <c r="A95" s="110" t="s">
        <v>260</v>
      </c>
      <c r="B95" s="94" t="s">
        <v>15</v>
      </c>
      <c r="C95" s="130">
        <v>1</v>
      </c>
      <c r="D95" s="78" t="s">
        <v>9</v>
      </c>
      <c r="E95" s="103"/>
      <c r="F95" s="122">
        <f>IF(D95&lt;&gt;"L","-",IF(COUNTA(P!E$2:E$1000)+COUNTA(D!E$2:E$1000)+COUNTA('C'!E$2:E$1000)+COUNTA(A!E$2:E$1000)=0,C95,ROUND(C95*MAX(0.1,IFERROR(Dashboard!B$3/Dashboard!B$10,1))*(1+Dashboard!F$7*IF(B95="Occ",0.5,IF(B95="Pun",0.35,IF(B95="Tit",0.25,IF(B95="Scm",0.15,0.05)))))*IF(OR(B95="Occ",B95="Pun"),Dashboard!V$7,IF(B95="Tit",Dashboard!W$7,Dashboard!X$7)),0)))</f>
        <v>1</v>
      </c>
      <c r="G95" s="84"/>
    </row>
    <row r="96" spans="1:10" s="123" customFormat="1">
      <c r="A96" s="110" t="s">
        <v>261</v>
      </c>
      <c r="B96" s="99" t="s">
        <v>41</v>
      </c>
      <c r="C96" s="129">
        <v>1</v>
      </c>
      <c r="D96" s="78" t="s">
        <v>9</v>
      </c>
      <c r="E96" s="103"/>
      <c r="F96" s="122">
        <f>IF(D96&lt;&gt;"L","-",IF(COUNTA(P!E$2:E$1000)+COUNTA(D!E$2:E$1000)+COUNTA('C'!E$2:E$1000)+COUNTA(A!E$2:E$1000)=0,C96,ROUND(C96*MAX(0.1,IFERROR(Dashboard!B$3/Dashboard!B$10,1))*(1+Dashboard!F$7*IF(B96="Occ",0.5,IF(B96="Pun",0.35,IF(B96="Tit",0.25,IF(B96="Scm",0.15,0.05)))))*IF(OR(B96="Occ",B96="Pun"),Dashboard!V$7,IF(B96="Tit",Dashboard!W$7,Dashboard!X$7)),0)))</f>
        <v>1</v>
      </c>
      <c r="G96" s="84"/>
    </row>
    <row r="97" spans="1:64" s="123" customFormat="1">
      <c r="A97" s="110" t="s">
        <v>262</v>
      </c>
      <c r="B97" s="92" t="s">
        <v>13</v>
      </c>
      <c r="C97" s="130">
        <v>10</v>
      </c>
      <c r="D97" s="78" t="s">
        <v>9</v>
      </c>
      <c r="E97" s="103"/>
      <c r="F97" s="122">
        <f>IF(D97&lt;&gt;"L","-",IF(COUNTA(P!E$2:E$1000)+COUNTA(D!E$2:E$1000)+COUNTA('C'!E$2:E$1000)+COUNTA(A!E$2:E$1000)=0,C97,ROUND(C97*MAX(0.1,IFERROR(Dashboard!B$3/Dashboard!B$10,1))*(1+Dashboard!F$7*IF(B97="Occ",0.5,IF(B97="Pun",0.35,IF(B97="Tit",0.25,IF(B97="Scm",0.15,0.05)))))*IF(OR(B97="Occ",B97="Pun"),Dashboard!V$7,IF(B97="Tit",Dashboard!W$7,Dashboard!X$7)),0)))</f>
        <v>10</v>
      </c>
      <c r="G97" s="84"/>
    </row>
    <row r="98" spans="1:64" s="14" customFormat="1">
      <c r="A98" s="110" t="s">
        <v>263</v>
      </c>
      <c r="B98" s="91" t="s">
        <v>8</v>
      </c>
      <c r="C98" s="129">
        <v>8</v>
      </c>
      <c r="D98" s="78" t="s">
        <v>9</v>
      </c>
      <c r="E98" s="103"/>
      <c r="F98" s="122">
        <f>IF(D98&lt;&gt;"L","-",IF(COUNTA(P!E$2:E$1000)+COUNTA(D!E$2:E$1000)+COUNTA('C'!E$2:E$1000)+COUNTA(A!E$2:E$1000)=0,C98,ROUND(C98*MAX(0.1,IFERROR(Dashboard!B$3/Dashboard!B$10,1))*(1+Dashboard!F$7*IF(B98="Occ",0.5,IF(B98="Pun",0.35,IF(B98="Tit",0.25,IF(B98="Scm",0.15,0.05)))))*IF(OR(B98="Occ",B98="Pun"),Dashboard!V$7,IF(B98="Tit",Dashboard!W$7,Dashboard!X$7)),0)))</f>
        <v>8</v>
      </c>
      <c r="G98" s="84"/>
      <c r="H98" s="123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13"/>
    </row>
    <row r="99" spans="1:64">
      <c r="A99" s="110" t="s">
        <v>264</v>
      </c>
      <c r="B99" s="99" t="s">
        <v>41</v>
      </c>
      <c r="C99" s="130">
        <v>1</v>
      </c>
      <c r="D99" s="78" t="s">
        <v>9</v>
      </c>
      <c r="E99" s="103"/>
      <c r="F99" s="122">
        <f>IF(D99&lt;&gt;"L","-",IF(COUNTA(P!E$2:E$1000)+COUNTA(D!E$2:E$1000)+COUNTA('C'!E$2:E$1000)+COUNTA(A!E$2:E$1000)=0,C99,ROUND(C99*MAX(0.1,IFERROR(Dashboard!B$3/Dashboard!B$10,1))*(1+Dashboard!F$7*IF(B99="Occ",0.5,IF(B99="Pun",0.35,IF(B99="Tit",0.25,IF(B99="Scm",0.15,0.05)))))*IF(OR(B99="Occ",B99="Pun"),Dashboard!V$7,IF(B99="Tit",Dashboard!W$7,Dashboard!X$7)),0)))</f>
        <v>1</v>
      </c>
      <c r="G99" s="84" t="s">
        <v>265</v>
      </c>
    </row>
    <row r="100" spans="1:64">
      <c r="A100" s="110" t="s">
        <v>266</v>
      </c>
      <c r="B100" s="99" t="s">
        <v>41</v>
      </c>
      <c r="C100" s="129">
        <v>3</v>
      </c>
      <c r="D100" s="78" t="s">
        <v>9</v>
      </c>
      <c r="E100" s="103"/>
      <c r="F100" s="122">
        <f>IF(D100&lt;&gt;"L","-",IF(COUNTA(P!E$2:E$1000)+COUNTA(D!E$2:E$1000)+COUNTA('C'!E$2:E$1000)+COUNTA(A!E$2:E$1000)=0,C100,ROUND(C100*MAX(0.1,IFERROR(Dashboard!B$3/Dashboard!B$10,1))*(1+Dashboard!F$7*IF(B100="Occ",0.5,IF(B100="Pun",0.35,IF(B100="Tit",0.25,IF(B100="Scm",0.15,0.05)))))*IF(OR(B100="Occ",B100="Pun"),Dashboard!V$7,IF(B100="Tit",Dashboard!W$7,Dashboard!X$7)),0)))</f>
        <v>3</v>
      </c>
      <c r="G100" s="84"/>
    </row>
    <row r="101" spans="1:64">
      <c r="A101" s="110" t="s">
        <v>267</v>
      </c>
      <c r="B101" s="99" t="s">
        <v>41</v>
      </c>
      <c r="C101" s="130">
        <v>1</v>
      </c>
      <c r="D101" s="78" t="s">
        <v>9</v>
      </c>
      <c r="E101" s="103"/>
      <c r="F101" s="122">
        <f>IF(D101&lt;&gt;"L","-",IF(COUNTA(P!E$2:E$1000)+COUNTA(D!E$2:E$1000)+COUNTA('C'!E$2:E$1000)+COUNTA(A!E$2:E$1000)=0,C101,ROUND(C101*MAX(0.1,IFERROR(Dashboard!B$3/Dashboard!B$10,1))*(1+Dashboard!F$7*IF(B101="Occ",0.5,IF(B101="Pun",0.35,IF(B101="Tit",0.25,IF(B101="Scm",0.15,0.05)))))*IF(OR(B101="Occ",B101="Pun"),Dashboard!V$7,IF(B101="Tit",Dashboard!W$7,Dashboard!X$7)),0)))</f>
        <v>1</v>
      </c>
      <c r="G101" s="84"/>
    </row>
    <row r="102" spans="1:64">
      <c r="A102" s="110" t="s">
        <v>268</v>
      </c>
      <c r="B102" s="93" t="s">
        <v>23</v>
      </c>
      <c r="C102" s="129">
        <v>1</v>
      </c>
      <c r="D102" s="78" t="s">
        <v>9</v>
      </c>
      <c r="E102" s="103"/>
      <c r="F102" s="122">
        <f>IF(D102&lt;&gt;"L","-",IF(COUNTA(P!E$2:E$1000)+COUNTA(D!E$2:E$1000)+COUNTA('C'!E$2:E$1000)+COUNTA(A!E$2:E$1000)=0,C102,ROUND(C102*MAX(0.1,IFERROR(Dashboard!B$3/Dashboard!B$10,1))*(1+Dashboard!F$7*IF(B102="Occ",0.5,IF(B102="Pun",0.35,IF(B102="Tit",0.25,IF(B102="Scm",0.15,0.05)))))*IF(OR(B102="Occ",B102="Pun"),Dashboard!V$7,IF(B102="Tit",Dashboard!W$7,Dashboard!X$7)),0)))</f>
        <v>1</v>
      </c>
      <c r="G102" s="84"/>
    </row>
    <row r="103" spans="1:64">
      <c r="A103" s="110" t="s">
        <v>269</v>
      </c>
      <c r="B103" s="93" t="s">
        <v>23</v>
      </c>
      <c r="C103" s="129">
        <v>1</v>
      </c>
      <c r="D103" s="78" t="s">
        <v>9</v>
      </c>
      <c r="E103" s="103"/>
      <c r="F103" s="122">
        <f>IF(D103&lt;&gt;"L","-",IF(COUNTA(P!E$2:E$1000)+COUNTA(D!E$2:E$1000)+COUNTA('C'!E$2:E$1000)+COUNTA(A!E$2:E$1000)=0,C103,ROUND(C103*MAX(0.1,IFERROR(Dashboard!B$3/Dashboard!B$10,1))*(1+Dashboard!F$7*IF(B103="Occ",0.5,IF(B103="Pun",0.35,IF(B103="Tit",0.25,IF(B103="Scm",0.15,0.05)))))*IF(OR(B103="Occ",B103="Pun"),Dashboard!V$7,IF(B103="Tit",Dashboard!W$7,Dashboard!X$7)),0)))</f>
        <v>1</v>
      </c>
      <c r="G103" s="84"/>
    </row>
    <row r="104" spans="1:64">
      <c r="A104" s="111" t="s">
        <v>270</v>
      </c>
      <c r="B104" s="91" t="s">
        <v>8</v>
      </c>
      <c r="C104" s="130">
        <v>13</v>
      </c>
      <c r="D104" s="78" t="s">
        <v>9</v>
      </c>
      <c r="E104" s="103"/>
      <c r="F104" s="122">
        <f>IF(D104&lt;&gt;"L","-",IF(COUNTA(P!E$2:E$1000)+COUNTA(D!E$2:E$1000)+COUNTA('C'!E$2:E$1000)+COUNTA(A!E$2:E$1000)=0,C104,ROUND(C104*MAX(0.1,IFERROR(Dashboard!B$3/Dashboard!B$10,1))*(1+Dashboard!F$7*IF(B104="Occ",0.5,IF(B104="Pun",0.35,IF(B104="Tit",0.25,IF(B104="Scm",0.15,0.05)))))*IF(OR(B104="Occ",B104="Pun"),Dashboard!V$7,IF(B104="Tit",Dashboard!W$7,Dashboard!X$7)),0)))</f>
        <v>13</v>
      </c>
      <c r="G104" s="84"/>
    </row>
    <row r="105" spans="1:64">
      <c r="A105" s="110" t="s">
        <v>271</v>
      </c>
      <c r="B105" s="91" t="s">
        <v>8</v>
      </c>
      <c r="C105" s="130">
        <v>23</v>
      </c>
      <c r="D105" s="78" t="s">
        <v>9</v>
      </c>
      <c r="E105" s="103"/>
      <c r="F105" s="122">
        <f>IF(D105&lt;&gt;"L","-",IF(COUNTA(P!E$2:E$1000)+COUNTA(D!E$2:E$1000)+COUNTA('C'!E$2:E$1000)+COUNTA(A!E$2:E$1000)=0,C105,ROUND(C105*MAX(0.1,IFERROR(Dashboard!B$3/Dashboard!B$10,1))*(1+Dashboard!F$7*IF(B105="Occ",0.5,IF(B105="Pun",0.35,IF(B105="Tit",0.25,IF(B105="Scm",0.15,0.05)))))*IF(OR(B105="Occ",B105="Pun"),Dashboard!V$7,IF(B105="Tit",Dashboard!W$7,Dashboard!X$7)),0)))</f>
        <v>23</v>
      </c>
      <c r="G105" s="84" t="s">
        <v>179</v>
      </c>
    </row>
    <row r="106" spans="1:64">
      <c r="A106" s="110" t="s">
        <v>272</v>
      </c>
      <c r="B106" s="93" t="s">
        <v>23</v>
      </c>
      <c r="C106" s="130">
        <v>1</v>
      </c>
      <c r="D106" s="78" t="s">
        <v>9</v>
      </c>
      <c r="E106" s="103"/>
      <c r="F106" s="122">
        <f>IF(D106&lt;&gt;"L","-",IF(COUNTA(P!E$2:E$1000)+COUNTA(D!E$2:E$1000)+COUNTA('C'!E$2:E$1000)+COUNTA(A!E$2:E$1000)=0,C106,ROUND(C106*MAX(0.1,IFERROR(Dashboard!B$3/Dashboard!B$10,1))*(1+Dashboard!F$7*IF(B106="Occ",0.5,IF(B106="Pun",0.35,IF(B106="Tit",0.25,IF(B106="Scm",0.15,0.05)))))*IF(OR(B106="Occ",B106="Pun"),Dashboard!V$7,IF(B106="Tit",Dashboard!W$7,Dashboard!X$7)),0)))</f>
        <v>1</v>
      </c>
      <c r="G106" s="84"/>
    </row>
    <row r="107" spans="1:64">
      <c r="A107" s="110" t="s">
        <v>273</v>
      </c>
      <c r="B107" s="99" t="s">
        <v>41</v>
      </c>
      <c r="C107" s="130">
        <v>1</v>
      </c>
      <c r="D107" s="78" t="s">
        <v>9</v>
      </c>
      <c r="E107" s="103"/>
      <c r="F107" s="122">
        <f>IF(D107&lt;&gt;"L","-",IF(COUNTA(P!E$2:E$1000)+COUNTA(D!E$2:E$1000)+COUNTA('C'!E$2:E$1000)+COUNTA(A!E$2:E$1000)=0,C107,ROUND(C107*MAX(0.1,IFERROR(Dashboard!B$3/Dashboard!B$10,1))*(1+Dashboard!F$7*IF(B107="Occ",0.5,IF(B107="Pun",0.35,IF(B107="Tit",0.25,IF(B107="Scm",0.15,0.05)))))*IF(OR(B107="Occ",B107="Pun"),Dashboard!V$7,IF(B107="Tit",Dashboard!W$7,Dashboard!X$7)),0)))</f>
        <v>1</v>
      </c>
      <c r="G107" s="84"/>
    </row>
    <row r="108" spans="1:64">
      <c r="A108" s="110" t="s">
        <v>274</v>
      </c>
      <c r="B108" s="92" t="s">
        <v>13</v>
      </c>
      <c r="C108" s="129">
        <v>30</v>
      </c>
      <c r="D108" s="78" t="s">
        <v>9</v>
      </c>
      <c r="E108" s="103"/>
      <c r="F108" s="122">
        <f>IF(D108&lt;&gt;"L","-",IF(COUNTA(P!E$2:E$1000)+COUNTA(D!E$2:E$1000)+COUNTA('C'!E$2:E$1000)+COUNTA(A!E$2:E$1000)=0,C108,ROUND(C108*MAX(0.1,IFERROR(Dashboard!B$3/Dashboard!B$10,1))*(1+Dashboard!F$7*IF(B108="Occ",0.5,IF(B108="Pun",0.35,IF(B108="Tit",0.25,IF(B108="Scm",0.15,0.05)))))*IF(OR(B108="Occ",B108="Pun"),Dashboard!V$7,IF(B108="Tit",Dashboard!W$7,Dashboard!X$7)),0)))</f>
        <v>30</v>
      </c>
      <c r="G108" s="84" t="s">
        <v>179</v>
      </c>
    </row>
    <row r="109" spans="1:64">
      <c r="A109" s="110" t="s">
        <v>275</v>
      </c>
      <c r="B109" s="91" t="s">
        <v>8</v>
      </c>
      <c r="C109" s="129">
        <v>10</v>
      </c>
      <c r="D109" s="78" t="s">
        <v>9</v>
      </c>
      <c r="E109" s="103"/>
      <c r="F109" s="122">
        <f>IF(D109&lt;&gt;"L","-",IF(COUNTA(P!E$2:E$1000)+COUNTA(D!E$2:E$1000)+COUNTA('C'!E$2:E$1000)+COUNTA(A!E$2:E$1000)=0,C109,ROUND(C109*MAX(0.1,IFERROR(Dashboard!B$3/Dashboard!B$10,1))*(1+Dashboard!F$7*IF(B109="Occ",0.5,IF(B109="Pun",0.35,IF(B109="Tit",0.25,IF(B109="Scm",0.15,0.05)))))*IF(OR(B109="Occ",B109="Pun"),Dashboard!V$7,IF(B109="Tit",Dashboard!W$7,Dashboard!X$7)),0)))</f>
        <v>10</v>
      </c>
      <c r="G109" s="84"/>
    </row>
    <row r="110" spans="1:64">
      <c r="A110" s="110" t="s">
        <v>276</v>
      </c>
      <c r="B110" s="93" t="s">
        <v>23</v>
      </c>
      <c r="C110" s="130">
        <v>3</v>
      </c>
      <c r="D110" s="78" t="s">
        <v>9</v>
      </c>
      <c r="E110" s="103"/>
      <c r="F110" s="122">
        <f>IF(D110&lt;&gt;"L","-",IF(COUNTA(P!E$2:E$1000)+COUNTA(D!E$2:E$1000)+COUNTA('C'!E$2:E$1000)+COUNTA(A!E$2:E$1000)=0,C110,ROUND(C110*MAX(0.1,IFERROR(Dashboard!B$3/Dashboard!B$10,1))*(1+Dashboard!F$7*IF(B110="Occ",0.5,IF(B110="Pun",0.35,IF(B110="Tit",0.25,IF(B110="Scm",0.15,0.05)))))*IF(OR(B110="Occ",B110="Pun"),Dashboard!V$7,IF(B110="Tit",Dashboard!W$7,Dashboard!X$7)),0)))</f>
        <v>3</v>
      </c>
      <c r="G110" s="84"/>
    </row>
    <row r="111" spans="1:64">
      <c r="A111" s="110" t="s">
        <v>277</v>
      </c>
      <c r="B111" s="91" t="s">
        <v>8</v>
      </c>
      <c r="C111" s="129">
        <v>20</v>
      </c>
      <c r="D111" s="78" t="s">
        <v>9</v>
      </c>
      <c r="E111" s="103"/>
      <c r="F111" s="122">
        <f>IF(D111&lt;&gt;"L","-",IF(COUNTA(P!E$2:E$1000)+COUNTA(D!E$2:E$1000)+COUNTA('C'!E$2:E$1000)+COUNTA(A!E$2:E$1000)=0,C111,ROUND(C111*MAX(0.1,IFERROR(Dashboard!B$3/Dashboard!B$10,1))*(1+Dashboard!F$7*IF(B111="Occ",0.5,IF(B111="Pun",0.35,IF(B111="Tit",0.25,IF(B111="Scm",0.15,0.05)))))*IF(OR(B111="Occ",B111="Pun"),Dashboard!V$7,IF(B111="Tit",Dashboard!W$7,Dashboard!X$7)),0)))</f>
        <v>20</v>
      </c>
      <c r="G111" s="84" t="s">
        <v>64</v>
      </c>
    </row>
    <row r="112" spans="1:64">
      <c r="A112" s="110" t="s">
        <v>278</v>
      </c>
      <c r="B112" s="91" t="s">
        <v>8</v>
      </c>
      <c r="C112" s="130">
        <v>5</v>
      </c>
      <c r="D112" s="78" t="s">
        <v>9</v>
      </c>
      <c r="E112" s="103"/>
      <c r="F112" s="122">
        <f>IF(D112&lt;&gt;"L","-",IF(COUNTA(P!E$2:E$1000)+COUNTA(D!E$2:E$1000)+COUNTA('C'!E$2:E$1000)+COUNTA(A!E$2:E$1000)=0,C112,ROUND(C112*MAX(0.1,IFERROR(Dashboard!B$3/Dashboard!B$10,1))*(1+Dashboard!F$7*IF(B112="Occ",0.5,IF(B112="Pun",0.35,IF(B112="Tit",0.25,IF(B112="Scm",0.15,0.05)))))*IF(OR(B112="Occ",B112="Pun"),Dashboard!V$7,IF(B112="Tit",Dashboard!W$7,Dashboard!X$7)),0)))</f>
        <v>5</v>
      </c>
      <c r="G112" s="84" t="s">
        <v>279</v>
      </c>
    </row>
    <row r="113" spans="1:7">
      <c r="A113" s="110" t="s">
        <v>280</v>
      </c>
      <c r="B113" s="94" t="s">
        <v>15</v>
      </c>
      <c r="C113" s="130">
        <v>1</v>
      </c>
      <c r="D113" s="78" t="s">
        <v>9</v>
      </c>
      <c r="E113" s="103"/>
      <c r="F113" s="122">
        <f>IF(D113&lt;&gt;"L","-",IF(COUNTA(P!E$2:E$1000)+COUNTA(D!E$2:E$1000)+COUNTA('C'!E$2:E$1000)+COUNTA(A!E$2:E$1000)=0,C113,ROUND(C113*MAX(0.1,IFERROR(Dashboard!B$3/Dashboard!B$10,1))*(1+Dashboard!F$7*IF(B113="Occ",0.5,IF(B113="Pun",0.35,IF(B113="Tit",0.25,IF(B113="Scm",0.15,0.05)))))*IF(OR(B113="Occ",B113="Pun"),Dashboard!V$7,IF(B113="Tit",Dashboard!W$7,Dashboard!X$7)),0)))</f>
        <v>1</v>
      </c>
      <c r="G113" s="84"/>
    </row>
    <row r="114" spans="1:7">
      <c r="A114" s="113" t="s">
        <v>281</v>
      </c>
      <c r="B114" s="96" t="s">
        <v>13</v>
      </c>
      <c r="C114" s="132">
        <v>12</v>
      </c>
      <c r="D114" s="79" t="s">
        <v>9</v>
      </c>
      <c r="E114" s="112"/>
      <c r="F114" s="126">
        <f>IF(D114&lt;&gt;"L","-",IF(COUNTA(P!E$2:E$1000)+COUNTA(D!E$2:E$1000)+COUNTA('C'!E$2:E$1000)+COUNTA(A!E$2:E$1000)=0,C114,ROUND(C114*MAX(0.1,IFERROR(Dashboard!B$3/Dashboard!B$10,1))*(1+Dashboard!F$7*IF(B114="Occ",0.5,IF(B114="Pun",0.35,IF(B114="Tit",0.25,IF(B114="Scm",0.15,0.05)))))*IF(OR(B114="Occ",B114="Pun"),Dashboard!V$7,IF(B114="Tit",Dashboard!W$7,Dashboard!X$7)),0)))</f>
        <v>12</v>
      </c>
      <c r="G114" s="86"/>
    </row>
    <row r="115" spans="1:7">
      <c r="A115" s="22"/>
      <c r="B115" s="22"/>
      <c r="C115" s="123"/>
      <c r="F115" s="123"/>
      <c r="G115" s="88"/>
    </row>
    <row r="116" spans="1:7">
      <c r="A116" s="22"/>
      <c r="B116" s="22"/>
      <c r="C116" s="123"/>
      <c r="F116" s="123"/>
      <c r="G116" s="88"/>
    </row>
    <row r="117" spans="1:7">
      <c r="A117" s="22"/>
      <c r="B117" s="22"/>
      <c r="C117" s="123"/>
      <c r="F117" s="123"/>
      <c r="G117" s="88"/>
    </row>
    <row r="118" spans="1:7">
      <c r="A118" s="22"/>
      <c r="B118" s="22"/>
      <c r="C118" s="123"/>
      <c r="F118" s="123"/>
      <c r="G118" s="88"/>
    </row>
    <row r="119" spans="1:7">
      <c r="A119" s="22"/>
      <c r="B119" s="22"/>
      <c r="C119" s="123"/>
      <c r="F119" s="123"/>
      <c r="G119" s="88"/>
    </row>
    <row r="120" spans="1:7">
      <c r="A120" s="22"/>
      <c r="B120" s="22"/>
      <c r="C120" s="123"/>
      <c r="F120" s="123"/>
      <c r="G120" s="88"/>
    </row>
    <row r="121" spans="1:7">
      <c r="A121" s="22"/>
      <c r="B121" s="22"/>
      <c r="C121" s="123"/>
      <c r="F121" s="123"/>
      <c r="G121" s="88"/>
    </row>
    <row r="122" spans="1:7">
      <c r="A122" s="22"/>
      <c r="B122" s="22"/>
      <c r="C122" s="123"/>
      <c r="F122" s="123"/>
      <c r="G122" s="88"/>
    </row>
    <row r="123" spans="1:7">
      <c r="A123" s="22"/>
      <c r="B123" s="22"/>
      <c r="C123" s="123"/>
      <c r="F123" s="123"/>
      <c r="G123" s="88"/>
    </row>
    <row r="124" spans="1:7">
      <c r="A124" s="22"/>
      <c r="B124" s="22"/>
      <c r="C124" s="123"/>
      <c r="F124" s="123"/>
      <c r="G124" s="88"/>
    </row>
    <row r="125" spans="1:7">
      <c r="A125" s="22"/>
      <c r="B125" s="22"/>
      <c r="C125" s="123"/>
      <c r="F125" s="123"/>
      <c r="G125" s="88"/>
    </row>
    <row r="126" spans="1:7">
      <c r="A126" s="22"/>
      <c r="B126" s="22"/>
      <c r="C126" s="123"/>
      <c r="F126" s="123"/>
      <c r="G126" s="88"/>
    </row>
    <row r="127" spans="1:7">
      <c r="A127" s="22"/>
      <c r="B127" s="22"/>
      <c r="C127" s="123"/>
      <c r="F127" s="123"/>
      <c r="G127" s="88"/>
    </row>
    <row r="128" spans="1:7">
      <c r="A128" s="22"/>
      <c r="B128" s="22"/>
      <c r="C128" s="123"/>
      <c r="F128" s="123"/>
      <c r="G128" s="88"/>
    </row>
    <row r="129" spans="1:7">
      <c r="A129" s="22"/>
      <c r="B129" s="22"/>
      <c r="C129" s="123"/>
      <c r="F129" s="123"/>
      <c r="G129" s="88"/>
    </row>
    <row r="130" spans="1:7">
      <c r="A130" s="22"/>
      <c r="B130" s="22"/>
      <c r="C130" s="123"/>
      <c r="F130" s="123"/>
      <c r="G130" s="88"/>
    </row>
    <row r="131" spans="1:7">
      <c r="A131" s="22"/>
      <c r="B131" s="22"/>
      <c r="C131" s="123"/>
      <c r="F131" s="123"/>
      <c r="G131" s="88"/>
    </row>
    <row r="132" spans="1:7">
      <c r="A132" s="22"/>
      <c r="B132" s="22"/>
      <c r="C132" s="123"/>
      <c r="F132" s="123"/>
      <c r="G132" s="88"/>
    </row>
    <row r="133" spans="1:7">
      <c r="A133" s="22"/>
      <c r="B133" s="22"/>
      <c r="C133" s="123"/>
      <c r="F133" s="123"/>
      <c r="G133" s="88"/>
    </row>
    <row r="134" spans="1:7">
      <c r="A134" s="22"/>
      <c r="B134" s="22"/>
      <c r="C134" s="123"/>
      <c r="F134" s="123"/>
      <c r="G134" s="88"/>
    </row>
    <row r="135" spans="1:7">
      <c r="A135" s="22"/>
      <c r="B135" s="22"/>
      <c r="C135" s="123"/>
      <c r="F135" s="123"/>
      <c r="G135" s="88"/>
    </row>
    <row r="136" spans="1:7">
      <c r="A136" s="22"/>
      <c r="B136" s="22"/>
      <c r="C136" s="123"/>
      <c r="F136" s="123"/>
      <c r="G136" s="88"/>
    </row>
    <row r="137" spans="1:7">
      <c r="A137" s="22"/>
      <c r="B137" s="22"/>
      <c r="C137" s="123"/>
      <c r="F137" s="123"/>
      <c r="G137" s="88"/>
    </row>
    <row r="138" spans="1:7">
      <c r="A138" s="22"/>
      <c r="B138" s="22"/>
      <c r="C138" s="123"/>
      <c r="F138" s="123"/>
      <c r="G138" s="88"/>
    </row>
    <row r="139" spans="1:7">
      <c r="A139" s="22"/>
      <c r="B139" s="22"/>
      <c r="C139" s="123"/>
      <c r="F139" s="123"/>
      <c r="G139" s="88"/>
    </row>
    <row r="140" spans="1:7">
      <c r="A140" s="22"/>
      <c r="B140" s="22"/>
      <c r="C140" s="123"/>
      <c r="F140" s="123"/>
      <c r="G140" s="88"/>
    </row>
    <row r="141" spans="1:7">
      <c r="A141" s="19"/>
      <c r="B141" s="101"/>
      <c r="C141" s="128"/>
      <c r="G141" s="114"/>
    </row>
  </sheetData>
  <sheetProtection sheet="1" objects="1" scenarios="1"/>
  <autoFilter ref="A1:G1" xr:uid="{D676C648-B41E-4113-BC50-C6AC63A655A9}"/>
  <sortState xmlns:xlrd2="http://schemas.microsoft.com/office/spreadsheetml/2017/richdata2" ref="A2:B117">
    <sortCondition ref="A2:A117"/>
  </sortState>
  <conditionalFormatting sqref="L23:XFD23 O3:O28 H29:XFD114 A1:C1048576 G51:G114 G29:G49 G115:XFD1048576 G24:XFD28 G1:XFD22 G23:J2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F1 D115:F1048576 E2:F1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allowBlank="1" showInputMessage="1" showErrorMessage="1" sqref="G1:N22 G24:G49 P1:XFD1048576 O1:O28 L29:O1048576 L23:N28 H24:K1048576 G51:G1048576 A1:C1048576 G23:J23" xr:uid="{00E94441-FC40-490E-99DC-BEA5E998173E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9A16C03-A55A-4F88-A282-BAF72E0CF5F5}">
          <x14:formula1>
            <xm:f>Tutti!$O$4:$O$7</xm:f>
          </x14:formula1>
          <xm:sqref>E64:E65</xm:sqref>
        </x14:dataValidation>
        <x14:dataValidation type="list" allowBlank="1" showInputMessage="1" showErrorMessage="1" xr:uid="{5631C908-CC78-4D82-BD34-6F2F9D19DAAE}">
          <x14:formula1>
            <xm:f>Utils!$A$2:$A$4</xm:f>
          </x14:formula1>
          <xm:sqref>D2:D114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50283-2A04-406B-914A-6D814F6E4439}">
  <dimension ref="A1:G190"/>
  <sheetViews>
    <sheetView topLeftCell="A41" workbookViewId="0">
      <selection activeCell="L11" sqref="L11"/>
    </sheetView>
  </sheetViews>
  <sheetFormatPr defaultRowHeight="15"/>
  <cols>
    <col min="1" max="1" width="13.7109375" style="22" bestFit="1" customWidth="1"/>
    <col min="2" max="2" width="4.7109375" style="134" bestFit="1" customWidth="1"/>
    <col min="3" max="3" width="5.28515625" style="123" bestFit="1" customWidth="1"/>
    <col min="4" max="4" width="6.85546875" style="22" bestFit="1" customWidth="1"/>
    <col min="5" max="5" width="13.7109375" style="22" bestFit="1" customWidth="1"/>
    <col min="6" max="6" width="7.7109375" style="135" bestFit="1" customWidth="1"/>
    <col min="7" max="7" width="20.140625" style="88" bestFit="1" customWidth="1"/>
    <col min="8" max="16384" width="9.140625" style="22"/>
  </cols>
  <sheetData>
    <row r="1" spans="1:7">
      <c r="A1" s="73" t="s">
        <v>0</v>
      </c>
      <c r="B1" s="100" t="s">
        <v>1</v>
      </c>
      <c r="C1" s="127" t="s">
        <v>2</v>
      </c>
      <c r="D1" s="73" t="s">
        <v>3</v>
      </c>
      <c r="E1" s="100" t="s">
        <v>4</v>
      </c>
      <c r="F1" s="120" t="s">
        <v>5</v>
      </c>
      <c r="G1" s="133" t="s">
        <v>6</v>
      </c>
    </row>
    <row r="2" spans="1:7">
      <c r="A2" s="115" t="s">
        <v>282</v>
      </c>
      <c r="B2" s="105" t="s">
        <v>15</v>
      </c>
      <c r="C2" s="128">
        <v>1</v>
      </c>
      <c r="D2" s="106" t="s">
        <v>9</v>
      </c>
      <c r="E2" s="101"/>
      <c r="F2" s="121">
        <f>IF(D2&lt;&gt;"L","-",IF(COUNTA(P!E$2:E$1000)+COUNTA(D!E$2:E$1000)+COUNTA('C'!E$2:E$1000)+COUNTA(A!E$2:E$1000)=0,C2,ROUND(C2*MAX(0.1,IFERROR(Dashboard!B$3/Dashboard!B$10,1))*(1+Dashboard!F$8*IF(B2="Occ",0.5,IF(B2="Pun",0.35,IF(B2="Tit",0.25,IF(B2="Scm",0.15,0.05))))),0)))</f>
        <v>1</v>
      </c>
      <c r="G2" s="125"/>
    </row>
    <row r="3" spans="1:7">
      <c r="A3" s="116" t="s">
        <v>283</v>
      </c>
      <c r="B3" s="93" t="s">
        <v>23</v>
      </c>
      <c r="C3" s="130">
        <v>1</v>
      </c>
      <c r="D3" s="106" t="s">
        <v>9</v>
      </c>
      <c r="E3" s="78"/>
      <c r="F3" s="121">
        <f>IF(D3&lt;&gt;"L","-",IF(COUNTA(P!E$2:E$1000)+COUNTA(D!E$2:E$1000)+COUNTA('C'!E$2:E$1000)+COUNTA(A!E$2:E$1000)=0,C3,ROUND(C3*MAX(0.1,IFERROR(Dashboard!B$3/Dashboard!B$10,1))*(1+Dashboard!F$8*IF(B3="Occ",0.5,IF(B3="Pun",0.35,IF(B3="Tit",0.25,IF(B3="Scm",0.15,0.05))))),0)))</f>
        <v>1</v>
      </c>
      <c r="G3" s="89"/>
    </row>
    <row r="4" spans="1:7">
      <c r="A4" s="116" t="s">
        <v>284</v>
      </c>
      <c r="B4" s="91" t="s">
        <v>8</v>
      </c>
      <c r="C4" s="129">
        <v>65</v>
      </c>
      <c r="D4" s="106" t="s">
        <v>9</v>
      </c>
      <c r="E4" s="78"/>
      <c r="F4" s="121">
        <f>IF(D4&lt;&gt;"L","-",IF(COUNTA(P!E$2:E$1000)+COUNTA(D!E$2:E$1000)+COUNTA('C'!E$2:E$1000)+COUNTA(A!E$2:E$1000)=0,C4,ROUND(C4*MAX(0.1,IFERROR(Dashboard!B$3/Dashboard!B$10,1))*(1+Dashboard!F$8*IF(B4="Occ",0.5,IF(B4="Pun",0.35,IF(B4="Tit",0.25,IF(B4="Scm",0.15,0.05))))),0)))</f>
        <v>65</v>
      </c>
      <c r="G4" s="89" t="s">
        <v>285</v>
      </c>
    </row>
    <row r="5" spans="1:7">
      <c r="A5" s="116" t="s">
        <v>286</v>
      </c>
      <c r="B5" s="93" t="s">
        <v>23</v>
      </c>
      <c r="C5" s="130">
        <v>10</v>
      </c>
      <c r="D5" s="106" t="s">
        <v>9</v>
      </c>
      <c r="E5" s="78"/>
      <c r="F5" s="121">
        <f>IF(D5&lt;&gt;"L","-",IF(COUNTA(P!E$2:E$1000)+COUNTA(D!E$2:E$1000)+COUNTA('C'!E$2:E$1000)+COUNTA(A!E$2:E$1000)=0,C5,ROUND(C5*MAX(0.1,IFERROR(Dashboard!B$3/Dashboard!B$10,1))*(1+Dashboard!F$8*IF(B5="Occ",0.5,IF(B5="Pun",0.35,IF(B5="Tit",0.25,IF(B5="Scm",0.15,0.05))))),0)))</f>
        <v>10</v>
      </c>
      <c r="G5" s="89"/>
    </row>
    <row r="6" spans="1:7">
      <c r="A6" s="116" t="s">
        <v>287</v>
      </c>
      <c r="B6" s="93" t="s">
        <v>23</v>
      </c>
      <c r="C6" s="130">
        <v>20</v>
      </c>
      <c r="D6" s="106" t="s">
        <v>9</v>
      </c>
      <c r="E6" s="78"/>
      <c r="F6" s="121">
        <f>IF(D6&lt;&gt;"L","-",IF(COUNTA(P!E$2:E$1000)+COUNTA(D!E$2:E$1000)+COUNTA('C'!E$2:E$1000)+COUNTA(A!E$2:E$1000)=0,C6,ROUND(C6*MAX(0.1,IFERROR(Dashboard!B$3/Dashboard!B$10,1))*(1+Dashboard!F$8*IF(B6="Occ",0.5,IF(B6="Pun",0.35,IF(B6="Tit",0.25,IF(B6="Scm",0.15,0.05))))),0)))</f>
        <v>20</v>
      </c>
      <c r="G6" s="89"/>
    </row>
    <row r="7" spans="1:7">
      <c r="A7" s="116" t="s">
        <v>288</v>
      </c>
      <c r="B7" s="91" t="s">
        <v>8</v>
      </c>
      <c r="C7" s="129">
        <v>15</v>
      </c>
      <c r="D7" s="106" t="s">
        <v>9</v>
      </c>
      <c r="E7" s="78"/>
      <c r="F7" s="121">
        <f>IF(D7&lt;&gt;"L","-",IF(COUNTA(P!E$2:E$1000)+COUNTA(D!E$2:E$1000)+COUNTA('C'!E$2:E$1000)+COUNTA(A!E$2:E$1000)=0,C7,ROUND(C7*MAX(0.1,IFERROR(Dashboard!B$3/Dashboard!B$10,1))*(1+Dashboard!F$8*IF(B7="Occ",0.5,IF(B7="Pun",0.35,IF(B7="Tit",0.25,IF(B7="Scm",0.15,0.05))))),0)))</f>
        <v>15</v>
      </c>
      <c r="G7" s="89"/>
    </row>
    <row r="8" spans="1:7">
      <c r="A8" s="116" t="s">
        <v>289</v>
      </c>
      <c r="B8" s="94" t="s">
        <v>15</v>
      </c>
      <c r="C8" s="130">
        <v>1</v>
      </c>
      <c r="D8" s="106" t="s">
        <v>9</v>
      </c>
      <c r="E8" s="78"/>
      <c r="F8" s="121">
        <f>IF(D8&lt;&gt;"L","-",IF(COUNTA(P!E$2:E$1000)+COUNTA(D!E$2:E$1000)+COUNTA('C'!E$2:E$1000)+COUNTA(A!E$2:E$1000)=0,C8,ROUND(C8*MAX(0.1,IFERROR(Dashboard!B$3/Dashboard!B$10,1))*(1+Dashboard!F$8*IF(B8="Occ",0.5,IF(B8="Pun",0.35,IF(B8="Tit",0.25,IF(B8="Scm",0.15,0.05))))),0)))</f>
        <v>1</v>
      </c>
      <c r="G8" s="89"/>
    </row>
    <row r="9" spans="1:7">
      <c r="A9" s="116" t="s">
        <v>290</v>
      </c>
      <c r="B9" s="92" t="s">
        <v>13</v>
      </c>
      <c r="C9" s="129">
        <v>50</v>
      </c>
      <c r="D9" s="106" t="s">
        <v>9</v>
      </c>
      <c r="E9" s="78"/>
      <c r="F9" s="121">
        <f>IF(D9&lt;&gt;"L","-",IF(COUNTA(P!E$2:E$1000)+COUNTA(D!E$2:E$1000)+COUNTA('C'!E$2:E$1000)+COUNTA(A!E$2:E$1000)=0,C9,ROUND(C9*MAX(0.1,IFERROR(Dashboard!B$3/Dashboard!B$10,1))*(1+Dashboard!F$8*IF(B9="Occ",0.5,IF(B9="Pun",0.35,IF(B9="Tit",0.25,IF(B9="Scm",0.15,0.05))))),0)))</f>
        <v>50</v>
      </c>
      <c r="G9" s="89" t="s">
        <v>291</v>
      </c>
    </row>
    <row r="10" spans="1:7">
      <c r="A10" s="116" t="s">
        <v>292</v>
      </c>
      <c r="B10" s="91" t="s">
        <v>8</v>
      </c>
      <c r="C10" s="129">
        <v>30</v>
      </c>
      <c r="D10" s="106" t="s">
        <v>9</v>
      </c>
      <c r="E10" s="78"/>
      <c r="F10" s="121">
        <f>IF(D10&lt;&gt;"L","-",IF(COUNTA(P!E$2:E$1000)+COUNTA(D!E$2:E$1000)+COUNTA('C'!E$2:E$1000)+COUNTA(A!E$2:E$1000)=0,C10,ROUND(C10*MAX(0.1,IFERROR(Dashboard!B$3/Dashboard!B$10,1))*(1+Dashboard!F$8*IF(B10="Occ",0.5,IF(B10="Pun",0.35,IF(B10="Tit",0.25,IF(B10="Scm",0.15,0.05))))),0)))</f>
        <v>30</v>
      </c>
      <c r="G10" s="89" t="s">
        <v>121</v>
      </c>
    </row>
    <row r="11" spans="1:7">
      <c r="A11" s="116" t="s">
        <v>293</v>
      </c>
      <c r="B11" s="94" t="s">
        <v>15</v>
      </c>
      <c r="C11" s="130">
        <v>5</v>
      </c>
      <c r="D11" s="106" t="s">
        <v>9</v>
      </c>
      <c r="E11" s="78"/>
      <c r="F11" s="121">
        <f>IF(D11&lt;&gt;"L","-",IF(COUNTA(P!E$2:E$1000)+COUNTA(D!E$2:E$1000)+COUNTA('C'!E$2:E$1000)+COUNTA(A!E$2:E$1000)=0,C11,ROUND(C11*MAX(0.1,IFERROR(Dashboard!B$3/Dashboard!B$10,1))*(1+Dashboard!F$8*IF(B11="Occ",0.5,IF(B11="Pun",0.35,IF(B11="Tit",0.25,IF(B11="Scm",0.15,0.05))))),0)))</f>
        <v>5</v>
      </c>
      <c r="G11" s="89"/>
    </row>
    <row r="12" spans="1:7">
      <c r="A12" s="117" t="s">
        <v>294</v>
      </c>
      <c r="B12" s="91" t="s">
        <v>8</v>
      </c>
      <c r="C12" s="129">
        <v>60</v>
      </c>
      <c r="D12" s="106" t="s">
        <v>9</v>
      </c>
      <c r="E12" s="78"/>
      <c r="F12" s="121">
        <f>IF(D12&lt;&gt;"L","-",IF(COUNTA(P!E$2:E$1000)+COUNTA(D!E$2:E$1000)+COUNTA('C'!E$2:E$1000)+COUNTA(A!E$2:E$1000)=0,C12,ROUND(C12*MAX(0.1,IFERROR(Dashboard!B$3/Dashboard!B$10,1))*(1+Dashboard!F$8*IF(B12="Occ",0.5,IF(B12="Pun",0.35,IF(B12="Tit",0.25,IF(B12="Scm",0.15,0.05))))),0)))</f>
        <v>60</v>
      </c>
      <c r="G12" s="89" t="s">
        <v>295</v>
      </c>
    </row>
    <row r="13" spans="1:7">
      <c r="A13" s="116" t="s">
        <v>296</v>
      </c>
      <c r="B13" s="91" t="s">
        <v>8</v>
      </c>
      <c r="C13" s="129">
        <v>50</v>
      </c>
      <c r="D13" s="106" t="s">
        <v>9</v>
      </c>
      <c r="E13" s="78"/>
      <c r="F13" s="121">
        <f>IF(D13&lt;&gt;"L","-",IF(COUNTA(P!E$2:E$1000)+COUNTA(D!E$2:E$1000)+COUNTA('C'!E$2:E$1000)+COUNTA(A!E$2:E$1000)=0,C13,ROUND(C13*MAX(0.1,IFERROR(Dashboard!B$3/Dashboard!B$10,1))*(1+Dashboard!F$8*IF(B13="Occ",0.5,IF(B13="Pun",0.35,IF(B13="Tit",0.25,IF(B13="Scm",0.15,0.05))))),0)))</f>
        <v>50</v>
      </c>
      <c r="G13" s="89" t="s">
        <v>64</v>
      </c>
    </row>
    <row r="14" spans="1:7">
      <c r="A14" s="116" t="s">
        <v>297</v>
      </c>
      <c r="B14" s="99" t="s">
        <v>41</v>
      </c>
      <c r="C14" s="130">
        <v>40</v>
      </c>
      <c r="D14" s="106" t="s">
        <v>9</v>
      </c>
      <c r="E14" s="78"/>
      <c r="F14" s="121">
        <f>IF(D14&lt;&gt;"L","-",IF(COUNTA(P!E$2:E$1000)+COUNTA(D!E$2:E$1000)+COUNTA('C'!E$2:E$1000)+COUNTA(A!E$2:E$1000)=0,C14,ROUND(C14*MAX(0.1,IFERROR(Dashboard!B$3/Dashboard!B$10,1))*(1+Dashboard!F$8*IF(B14="Occ",0.5,IF(B14="Pun",0.35,IF(B14="Tit",0.25,IF(B14="Scm",0.15,0.05))))),0)))</f>
        <v>40</v>
      </c>
      <c r="G14" s="89"/>
    </row>
    <row r="15" spans="1:7">
      <c r="A15" s="116" t="s">
        <v>298</v>
      </c>
      <c r="B15" s="94" t="s">
        <v>15</v>
      </c>
      <c r="C15" s="130">
        <v>25</v>
      </c>
      <c r="D15" s="106" t="s">
        <v>9</v>
      </c>
      <c r="E15" s="78"/>
      <c r="F15" s="121">
        <f>IF(D15&lt;&gt;"L","-",IF(COUNTA(P!E$2:E$1000)+COUNTA(D!E$2:E$1000)+COUNTA('C'!E$2:E$1000)+COUNTA(A!E$2:E$1000)=0,C15,ROUND(C15*MAX(0.1,IFERROR(Dashboard!B$3/Dashboard!B$10,1))*(1+Dashboard!F$8*IF(B15="Occ",0.5,IF(B15="Pun",0.35,IF(B15="Tit",0.25,IF(B15="Scm",0.15,0.05))))),0)))</f>
        <v>25</v>
      </c>
      <c r="G15" s="89"/>
    </row>
    <row r="16" spans="1:7">
      <c r="A16" s="116" t="s">
        <v>299</v>
      </c>
      <c r="B16" s="91" t="s">
        <v>8</v>
      </c>
      <c r="C16" s="130">
        <v>70</v>
      </c>
      <c r="D16" s="106" t="s">
        <v>9</v>
      </c>
      <c r="E16" s="78"/>
      <c r="F16" s="121">
        <f>IF(D16&lt;&gt;"L","-",IF(COUNTA(P!E$2:E$1000)+COUNTA(D!E$2:E$1000)+COUNTA('C'!E$2:E$1000)+COUNTA(A!E$2:E$1000)=0,C16,ROUND(C16*MAX(0.1,IFERROR(Dashboard!B$3/Dashboard!B$10,1))*(1+Dashboard!F$8*IF(B16="Occ",0.5,IF(B16="Pun",0.35,IF(B16="Tit",0.25,IF(B16="Scm",0.15,0.05))))),0)))</f>
        <v>70</v>
      </c>
      <c r="G16" s="84"/>
    </row>
    <row r="17" spans="1:7">
      <c r="A17" s="116" t="s">
        <v>300</v>
      </c>
      <c r="B17" s="99" t="s">
        <v>41</v>
      </c>
      <c r="C17" s="130">
        <v>30</v>
      </c>
      <c r="D17" s="106" t="s">
        <v>9</v>
      </c>
      <c r="E17" s="78"/>
      <c r="F17" s="121">
        <f>IF(D17&lt;&gt;"L","-",IF(COUNTA(P!E$2:E$1000)+COUNTA(D!E$2:E$1000)+COUNTA('C'!E$2:E$1000)+COUNTA(A!E$2:E$1000)=0,C17,ROUND(C17*MAX(0.1,IFERROR(Dashboard!B$3/Dashboard!B$10,1))*(1+Dashboard!F$8*IF(B17="Occ",0.5,IF(B17="Pun",0.35,IF(B17="Tit",0.25,IF(B17="Scm",0.15,0.05))))),0)))</f>
        <v>30</v>
      </c>
      <c r="G17" s="84"/>
    </row>
    <row r="18" spans="1:7">
      <c r="A18" s="116" t="s">
        <v>301</v>
      </c>
      <c r="B18" s="91" t="s">
        <v>8</v>
      </c>
      <c r="C18" s="129">
        <v>70</v>
      </c>
      <c r="D18" s="106" t="s">
        <v>9</v>
      </c>
      <c r="E18" s="78"/>
      <c r="F18" s="121">
        <f>IF(D18&lt;&gt;"L","-",IF(COUNTA(P!E$2:E$1000)+COUNTA(D!E$2:E$1000)+COUNTA('C'!E$2:E$1000)+COUNTA(A!E$2:E$1000)=0,C18,ROUND(C18*MAX(0.1,IFERROR(Dashboard!B$3/Dashboard!B$10,1))*(1+Dashboard!F$8*IF(B18="Occ",0.5,IF(B18="Pun",0.35,IF(B18="Tit",0.25,IF(B18="Scm",0.15,0.05))))),0)))</f>
        <v>70</v>
      </c>
      <c r="G18" s="84" t="s">
        <v>302</v>
      </c>
    </row>
    <row r="19" spans="1:7">
      <c r="A19" s="116" t="s">
        <v>303</v>
      </c>
      <c r="B19" s="93" t="s">
        <v>23</v>
      </c>
      <c r="C19" s="130">
        <v>1</v>
      </c>
      <c r="D19" s="106" t="s">
        <v>9</v>
      </c>
      <c r="E19" s="78"/>
      <c r="F19" s="121">
        <f>IF(D19&lt;&gt;"L","-",IF(COUNTA(P!E$2:E$1000)+COUNTA(D!E$2:E$1000)+COUNTA('C'!E$2:E$1000)+COUNTA(A!E$2:E$1000)=0,C19,ROUND(C19*MAX(0.1,IFERROR(Dashboard!B$3/Dashboard!B$10,1))*(1+Dashboard!F$8*IF(B19="Occ",0.5,IF(B19="Pun",0.35,IF(B19="Tit",0.25,IF(B19="Scm",0.15,0.05))))),0)))</f>
        <v>1</v>
      </c>
      <c r="G19" s="84"/>
    </row>
    <row r="20" spans="1:7">
      <c r="A20" s="116" t="s">
        <v>304</v>
      </c>
      <c r="B20" s="91" t="s">
        <v>8</v>
      </c>
      <c r="C20" s="130">
        <v>60</v>
      </c>
      <c r="D20" s="106" t="s">
        <v>9</v>
      </c>
      <c r="E20" s="78"/>
      <c r="F20" s="121">
        <f>IF(D20&lt;&gt;"L","-",IF(COUNTA(P!E$2:E$1000)+COUNTA(D!E$2:E$1000)+COUNTA('C'!E$2:E$1000)+COUNTA(A!E$2:E$1000)=0,C20,ROUND(C20*MAX(0.1,IFERROR(Dashboard!B$3/Dashboard!B$10,1))*(1+Dashboard!F$8*IF(B20="Occ",0.5,IF(B20="Pun",0.35,IF(B20="Tit",0.25,IF(B20="Scm",0.15,0.05))))),0)))</f>
        <v>60</v>
      </c>
      <c r="G20" s="84"/>
    </row>
    <row r="21" spans="1:7">
      <c r="A21" s="116" t="s">
        <v>305</v>
      </c>
      <c r="B21" s="94" t="s">
        <v>15</v>
      </c>
      <c r="C21" s="129">
        <v>5</v>
      </c>
      <c r="D21" s="106" t="s">
        <v>9</v>
      </c>
      <c r="E21" s="78"/>
      <c r="F21" s="121">
        <f>IF(D21&lt;&gt;"L","-",IF(COUNTA(P!E$2:E$1000)+COUNTA(D!E$2:E$1000)+COUNTA('C'!E$2:E$1000)+COUNTA(A!E$2:E$1000)=0,C21,ROUND(C21*MAX(0.1,IFERROR(Dashboard!B$3/Dashboard!B$10,1))*(1+Dashboard!F$8*IF(B21="Occ",0.5,IF(B21="Pun",0.35,IF(B21="Tit",0.25,IF(B21="Scm",0.15,0.05))))),0)))</f>
        <v>5</v>
      </c>
      <c r="G21" s="84" t="s">
        <v>121</v>
      </c>
    </row>
    <row r="22" spans="1:7">
      <c r="A22" s="116" t="s">
        <v>306</v>
      </c>
      <c r="B22" s="94" t="s">
        <v>15</v>
      </c>
      <c r="C22" s="130">
        <v>1</v>
      </c>
      <c r="D22" s="106" t="s">
        <v>9</v>
      </c>
      <c r="E22" s="78"/>
      <c r="F22" s="121">
        <f>IF(D22&lt;&gt;"L","-",IF(COUNTA(P!E$2:E$1000)+COUNTA(D!E$2:E$1000)+COUNTA('C'!E$2:E$1000)+COUNTA(A!E$2:E$1000)=0,C22,ROUND(C22*MAX(0.1,IFERROR(Dashboard!B$3/Dashboard!B$10,1))*(1+Dashboard!F$8*IF(B22="Occ",0.5,IF(B22="Pun",0.35,IF(B22="Tit",0.25,IF(B22="Scm",0.15,0.05))))),0)))</f>
        <v>1</v>
      </c>
      <c r="G22" s="84" t="s">
        <v>307</v>
      </c>
    </row>
    <row r="23" spans="1:7">
      <c r="A23" s="116" t="s">
        <v>308</v>
      </c>
      <c r="B23" s="91" t="s">
        <v>8</v>
      </c>
      <c r="C23" s="129">
        <v>70</v>
      </c>
      <c r="D23" s="106" t="s">
        <v>9</v>
      </c>
      <c r="E23" s="78"/>
      <c r="F23" s="121">
        <f>IF(D23&lt;&gt;"L","-",IF(COUNTA(P!E$2:E$1000)+COUNTA(D!E$2:E$1000)+COUNTA('C'!E$2:E$1000)+COUNTA(A!E$2:E$1000)=0,C23,ROUND(C23*MAX(0.1,IFERROR(Dashboard!B$3/Dashboard!B$10,1))*(1+Dashboard!F$8*IF(B23="Occ",0.5,IF(B23="Pun",0.35,IF(B23="Tit",0.25,IF(B23="Scm",0.15,0.05))))),0)))</f>
        <v>70</v>
      </c>
      <c r="G23" s="84"/>
    </row>
    <row r="24" spans="1:7">
      <c r="A24" s="116" t="s">
        <v>309</v>
      </c>
      <c r="B24" s="92" t="s">
        <v>13</v>
      </c>
      <c r="C24" s="129">
        <v>120</v>
      </c>
      <c r="D24" s="106" t="s">
        <v>9</v>
      </c>
      <c r="E24" s="78"/>
      <c r="F24" s="121">
        <f>IF(D24&lt;&gt;"L","-",IF(COUNTA(P!E$2:E$1000)+COUNTA(D!E$2:E$1000)+COUNTA('C'!E$2:E$1000)+COUNTA(A!E$2:E$1000)=0,C24,ROUND(C24*MAX(0.1,IFERROR(Dashboard!B$3/Dashboard!B$10,1))*(1+Dashboard!F$8*IF(B24="Occ",0.5,IF(B24="Pun",0.35,IF(B24="Tit",0.25,IF(B24="Scm",0.15,0.05))))),0)))</f>
        <v>120</v>
      </c>
      <c r="G24" s="84"/>
    </row>
    <row r="25" spans="1:7">
      <c r="A25" s="116" t="s">
        <v>310</v>
      </c>
      <c r="B25" s="94" t="s">
        <v>15</v>
      </c>
      <c r="C25" s="130">
        <v>25</v>
      </c>
      <c r="D25" s="106" t="s">
        <v>9</v>
      </c>
      <c r="E25" s="78"/>
      <c r="F25" s="121">
        <f>IF(D25&lt;&gt;"L","-",IF(COUNTA(P!E$2:E$1000)+COUNTA(D!E$2:E$1000)+COUNTA('C'!E$2:E$1000)+COUNTA(A!E$2:E$1000)=0,C25,ROUND(C25*MAX(0.1,IFERROR(Dashboard!B$3/Dashboard!B$10,1))*(1+Dashboard!F$8*IF(B25="Occ",0.5,IF(B25="Pun",0.35,IF(B25="Tit",0.25,IF(B25="Scm",0.15,0.05))))),0)))</f>
        <v>25</v>
      </c>
      <c r="G25" s="84" t="s">
        <v>121</v>
      </c>
    </row>
    <row r="26" spans="1:7">
      <c r="A26" s="117" t="s">
        <v>311</v>
      </c>
      <c r="B26" s="91" t="s">
        <v>8</v>
      </c>
      <c r="C26" s="129">
        <v>230</v>
      </c>
      <c r="D26" s="106" t="s">
        <v>9</v>
      </c>
      <c r="E26" s="78"/>
      <c r="F26" s="121">
        <f>IF(D26&lt;&gt;"L","-",IF(COUNTA(P!E$2:E$1000)+COUNTA(D!E$2:E$1000)+COUNTA('C'!E$2:E$1000)+COUNTA(A!E$2:E$1000)=0,C26,ROUND(C26*MAX(0.1,IFERROR(Dashboard!B$3/Dashboard!B$10,1))*(1+Dashboard!F$8*IF(B26="Occ",0.5,IF(B26="Pun",0.35,IF(B26="Tit",0.25,IF(B26="Scm",0.15,0.05))))),0)))</f>
        <v>230</v>
      </c>
      <c r="G26" s="84" t="s">
        <v>121</v>
      </c>
    </row>
    <row r="27" spans="1:7">
      <c r="A27" s="116" t="s">
        <v>312</v>
      </c>
      <c r="B27" s="91" t="s">
        <v>8</v>
      </c>
      <c r="C27" s="129">
        <v>65</v>
      </c>
      <c r="D27" s="106" t="s">
        <v>9</v>
      </c>
      <c r="E27" s="78"/>
      <c r="F27" s="121">
        <f>IF(D27&lt;&gt;"L","-",IF(COUNTA(P!E$2:E$1000)+COUNTA(D!E$2:E$1000)+COUNTA('C'!E$2:E$1000)+COUNTA(A!E$2:E$1000)=0,C27,ROUND(C27*MAX(0.1,IFERROR(Dashboard!B$3/Dashboard!B$10,1))*(1+Dashboard!F$8*IF(B27="Occ",0.5,IF(B27="Pun",0.35,IF(B27="Tit",0.25,IF(B27="Scm",0.15,0.05))))),0)))</f>
        <v>65</v>
      </c>
      <c r="G27" s="84"/>
    </row>
    <row r="28" spans="1:7">
      <c r="A28" s="116" t="s">
        <v>313</v>
      </c>
      <c r="B28" s="99" t="s">
        <v>41</v>
      </c>
      <c r="C28" s="130">
        <v>1</v>
      </c>
      <c r="D28" s="106" t="s">
        <v>9</v>
      </c>
      <c r="E28" s="78"/>
      <c r="F28" s="121">
        <f>IF(D28&lt;&gt;"L","-",IF(COUNTA(P!E$2:E$1000)+COUNTA(D!E$2:E$1000)+COUNTA('C'!E$2:E$1000)+COUNTA(A!E$2:E$1000)=0,C28,ROUND(C28*MAX(0.1,IFERROR(Dashboard!B$3/Dashboard!B$10,1))*(1+Dashboard!F$8*IF(B28="Occ",0.5,IF(B28="Pun",0.35,IF(B28="Tit",0.25,IF(B28="Scm",0.15,0.05))))),0)))</f>
        <v>1</v>
      </c>
      <c r="G28" s="84"/>
    </row>
    <row r="29" spans="1:7">
      <c r="A29" s="116" t="s">
        <v>314</v>
      </c>
      <c r="B29" s="94" t="s">
        <v>15</v>
      </c>
      <c r="C29" s="130">
        <v>1</v>
      </c>
      <c r="D29" s="106" t="s">
        <v>9</v>
      </c>
      <c r="E29" s="78"/>
      <c r="F29" s="121">
        <f>IF(D29&lt;&gt;"L","-",IF(COUNTA(P!E$2:E$1000)+COUNTA(D!E$2:E$1000)+COUNTA('C'!E$2:E$1000)+COUNTA(A!E$2:E$1000)=0,C29,ROUND(C29*MAX(0.1,IFERROR(Dashboard!B$3/Dashboard!B$10,1))*(1+Dashboard!F$8*IF(B29="Occ",0.5,IF(B29="Pun",0.35,IF(B29="Tit",0.25,IF(B29="Scm",0.15,0.05))))),0)))</f>
        <v>1</v>
      </c>
      <c r="G29" s="84"/>
    </row>
    <row r="30" spans="1:7">
      <c r="A30" s="116" t="s">
        <v>315</v>
      </c>
      <c r="B30" s="91" t="s">
        <v>8</v>
      </c>
      <c r="C30" s="130">
        <v>40</v>
      </c>
      <c r="D30" s="106" t="s">
        <v>9</v>
      </c>
      <c r="E30" s="78"/>
      <c r="F30" s="121">
        <f>IF(D30&lt;&gt;"L","-",IF(COUNTA(P!E$2:E$1000)+COUNTA(D!E$2:E$1000)+COUNTA('C'!E$2:E$1000)+COUNTA(A!E$2:E$1000)=0,C30,ROUND(C30*MAX(0.1,IFERROR(Dashboard!B$3/Dashboard!B$10,1))*(1+Dashboard!F$8*IF(B30="Occ",0.5,IF(B30="Pun",0.35,IF(B30="Tit",0.25,IF(B30="Scm",0.15,0.05))))),0)))</f>
        <v>40</v>
      </c>
      <c r="G30" s="84"/>
    </row>
    <row r="31" spans="1:7">
      <c r="A31" s="116" t="s">
        <v>316</v>
      </c>
      <c r="B31" s="99" t="s">
        <v>41</v>
      </c>
      <c r="C31" s="130">
        <v>50</v>
      </c>
      <c r="D31" s="106" t="s">
        <v>9</v>
      </c>
      <c r="E31" s="78"/>
      <c r="F31" s="121">
        <f>IF(D31&lt;&gt;"L","-",IF(COUNTA(P!E$2:E$1000)+COUNTA(D!E$2:E$1000)+COUNTA('C'!E$2:E$1000)+COUNTA(A!E$2:E$1000)=0,C31,ROUND(C31*MAX(0.1,IFERROR(Dashboard!B$3/Dashboard!B$10,1))*(1+Dashboard!F$8*IF(B31="Occ",0.5,IF(B31="Pun",0.35,IF(B31="Tit",0.25,IF(B31="Scm",0.15,0.05))))),0)))</f>
        <v>50</v>
      </c>
      <c r="G31" s="84"/>
    </row>
    <row r="32" spans="1:7">
      <c r="A32" s="116" t="s">
        <v>317</v>
      </c>
      <c r="B32" s="93" t="s">
        <v>23</v>
      </c>
      <c r="C32" s="129">
        <v>1</v>
      </c>
      <c r="D32" s="106" t="s">
        <v>9</v>
      </c>
      <c r="E32" s="78"/>
      <c r="F32" s="121">
        <f>IF(D32&lt;&gt;"L","-",IF(COUNTA(P!E$2:E$1000)+COUNTA(D!E$2:E$1000)+COUNTA('C'!E$2:E$1000)+COUNTA(A!E$2:E$1000)=0,C32,ROUND(C32*MAX(0.1,IFERROR(Dashboard!B$3/Dashboard!B$10,1))*(1+Dashboard!F$8*IF(B32="Occ",0.5,IF(B32="Pun",0.35,IF(B32="Tit",0.25,IF(B32="Scm",0.15,0.05))))),0)))</f>
        <v>1</v>
      </c>
      <c r="G32" s="84"/>
    </row>
    <row r="33" spans="1:7">
      <c r="A33" s="116" t="s">
        <v>318</v>
      </c>
      <c r="B33" s="94" t="s">
        <v>15</v>
      </c>
      <c r="C33" s="130">
        <v>1</v>
      </c>
      <c r="D33" s="106" t="s">
        <v>9</v>
      </c>
      <c r="E33" s="78"/>
      <c r="F33" s="121">
        <f>IF(D33&lt;&gt;"L","-",IF(COUNTA(P!E$2:E$1000)+COUNTA(D!E$2:E$1000)+COUNTA('C'!E$2:E$1000)+COUNTA(A!E$2:E$1000)=0,C33,ROUND(C33*MAX(0.1,IFERROR(Dashboard!B$3/Dashboard!B$10,1))*(1+Dashboard!F$8*IF(B33="Occ",0.5,IF(B33="Pun",0.35,IF(B33="Tit",0.25,IF(B33="Scm",0.15,0.05))))),0)))</f>
        <v>1</v>
      </c>
      <c r="G33" s="84" t="s">
        <v>319</v>
      </c>
    </row>
    <row r="34" spans="1:7">
      <c r="A34" s="116" t="s">
        <v>320</v>
      </c>
      <c r="B34" s="94" t="s">
        <v>15</v>
      </c>
      <c r="C34" s="130">
        <v>10</v>
      </c>
      <c r="D34" s="106" t="s">
        <v>9</v>
      </c>
      <c r="E34" s="78"/>
      <c r="F34" s="121">
        <f>IF(D34&lt;&gt;"L","-",IF(COUNTA(P!E$2:E$1000)+COUNTA(D!E$2:E$1000)+COUNTA('C'!E$2:E$1000)+COUNTA(A!E$2:E$1000)=0,C34,ROUND(C34*MAX(0.1,IFERROR(Dashboard!B$3/Dashboard!B$10,1))*(1+Dashboard!F$8*IF(B34="Occ",0.5,IF(B34="Pun",0.35,IF(B34="Tit",0.25,IF(B34="Scm",0.15,0.05))))),0)))</f>
        <v>10</v>
      </c>
      <c r="G34" s="84"/>
    </row>
    <row r="35" spans="1:7">
      <c r="A35" s="117" t="s">
        <v>321</v>
      </c>
      <c r="B35" s="91" t="s">
        <v>8</v>
      </c>
      <c r="C35" s="129">
        <v>250</v>
      </c>
      <c r="D35" s="106" t="s">
        <v>9</v>
      </c>
      <c r="E35" s="78"/>
      <c r="F35" s="121">
        <f>IF(D35&lt;&gt;"L","-",IF(COUNTA(P!E$2:E$1000)+COUNTA(D!E$2:E$1000)+COUNTA('C'!E$2:E$1000)+COUNTA(A!E$2:E$1000)=0,C35,ROUND(C35*MAX(0.1,IFERROR(Dashboard!B$3/Dashboard!B$10,1))*(1+Dashboard!F$8*IF(B35="Occ",0.5,IF(B35="Pun",0.35,IF(B35="Tit",0.25,IF(B35="Scm",0.15,0.05))))),0)))</f>
        <v>250</v>
      </c>
      <c r="G35" s="84" t="s">
        <v>121</v>
      </c>
    </row>
    <row r="36" spans="1:7">
      <c r="A36" s="117" t="s">
        <v>322</v>
      </c>
      <c r="B36" s="91" t="s">
        <v>8</v>
      </c>
      <c r="C36" s="130">
        <v>250</v>
      </c>
      <c r="D36" s="106" t="s">
        <v>9</v>
      </c>
      <c r="E36" s="78"/>
      <c r="F36" s="121">
        <f>IF(D36&lt;&gt;"L","-",IF(COUNTA(P!E$2:E$1000)+COUNTA(D!E$2:E$1000)+COUNTA('C'!E$2:E$1000)+COUNTA(A!E$2:E$1000)=0,C36,ROUND(C36*MAX(0.1,IFERROR(Dashboard!B$3/Dashboard!B$10,1))*(1+Dashboard!F$8*IF(B36="Occ",0.5,IF(B36="Pun",0.35,IF(B36="Tit",0.25,IF(B36="Scm",0.15,0.05))))),0)))</f>
        <v>250</v>
      </c>
      <c r="G36" s="84"/>
    </row>
    <row r="37" spans="1:7">
      <c r="A37" s="116" t="s">
        <v>323</v>
      </c>
      <c r="B37" s="93" t="s">
        <v>23</v>
      </c>
      <c r="C37" s="129">
        <v>1</v>
      </c>
      <c r="D37" s="106" t="s">
        <v>9</v>
      </c>
      <c r="E37" s="78"/>
      <c r="F37" s="121">
        <f>IF(D37&lt;&gt;"L","-",IF(COUNTA(P!E$2:E$1000)+COUNTA(D!E$2:E$1000)+COUNTA('C'!E$2:E$1000)+COUNTA(A!E$2:E$1000)=0,C37,ROUND(C37*MAX(0.1,IFERROR(Dashboard!B$3/Dashboard!B$10,1))*(1+Dashboard!F$8*IF(B37="Occ",0.5,IF(B37="Pun",0.35,IF(B37="Tit",0.25,IF(B37="Scm",0.15,0.05))))),0)))</f>
        <v>1</v>
      </c>
      <c r="G37" s="84"/>
    </row>
    <row r="38" spans="1:7">
      <c r="A38" s="116" t="s">
        <v>324</v>
      </c>
      <c r="B38" s="91" t="s">
        <v>8</v>
      </c>
      <c r="C38" s="129">
        <v>10</v>
      </c>
      <c r="D38" s="106" t="s">
        <v>9</v>
      </c>
      <c r="E38" s="78"/>
      <c r="F38" s="121">
        <f>IF(D38&lt;&gt;"L","-",IF(COUNTA(P!E$2:E$1000)+COUNTA(D!E$2:E$1000)+COUNTA('C'!E$2:E$1000)+COUNTA(A!E$2:E$1000)=0,C38,ROUND(C38*MAX(0.1,IFERROR(Dashboard!B$3/Dashboard!B$10,1))*(1+Dashboard!F$8*IF(B38="Occ",0.5,IF(B38="Pun",0.35,IF(B38="Tit",0.25,IF(B38="Scm",0.15,0.05))))),0)))</f>
        <v>10</v>
      </c>
      <c r="G38" s="84"/>
    </row>
    <row r="39" spans="1:7">
      <c r="A39" s="116" t="s">
        <v>325</v>
      </c>
      <c r="B39" s="99" t="s">
        <v>41</v>
      </c>
      <c r="C39" s="130">
        <v>1</v>
      </c>
      <c r="D39" s="106" t="s">
        <v>9</v>
      </c>
      <c r="E39" s="78"/>
      <c r="F39" s="121">
        <f>IF(D39&lt;&gt;"L","-",IF(COUNTA(P!E$2:E$1000)+COUNTA(D!E$2:E$1000)+COUNTA('C'!E$2:E$1000)+COUNTA(A!E$2:E$1000)=0,C39,ROUND(C39*MAX(0.1,IFERROR(Dashboard!B$3/Dashboard!B$10,1))*(1+Dashboard!F$8*IF(B39="Occ",0.5,IF(B39="Pun",0.35,IF(B39="Tit",0.25,IF(B39="Scm",0.15,0.05))))),0)))</f>
        <v>1</v>
      </c>
      <c r="G39" s="84"/>
    </row>
    <row r="40" spans="1:7">
      <c r="A40" s="116" t="s">
        <v>326</v>
      </c>
      <c r="B40" s="94" t="s">
        <v>15</v>
      </c>
      <c r="C40" s="129">
        <v>1</v>
      </c>
      <c r="D40" s="106" t="s">
        <v>9</v>
      </c>
      <c r="E40" s="78"/>
      <c r="F40" s="121">
        <f>IF(D40&lt;&gt;"L","-",IF(COUNTA(P!E$2:E$1000)+COUNTA(D!E$2:E$1000)+COUNTA('C'!E$2:E$1000)+COUNTA(A!E$2:E$1000)=0,C40,ROUND(C40*MAX(0.1,IFERROR(Dashboard!B$3/Dashboard!B$10,1))*(1+Dashboard!F$8*IF(B40="Occ",0.5,IF(B40="Pun",0.35,IF(B40="Tit",0.25,IF(B40="Scm",0.15,0.05))))),0)))</f>
        <v>1</v>
      </c>
      <c r="G40" s="84"/>
    </row>
    <row r="41" spans="1:7">
      <c r="A41" s="116" t="s">
        <v>327</v>
      </c>
      <c r="B41" s="94" t="s">
        <v>15</v>
      </c>
      <c r="C41" s="129">
        <v>1</v>
      </c>
      <c r="D41" s="106" t="s">
        <v>9</v>
      </c>
      <c r="E41" s="78"/>
      <c r="F41" s="121">
        <f>IF(D41&lt;&gt;"L","-",IF(COUNTA(P!E$2:E$1000)+COUNTA(D!E$2:E$1000)+COUNTA('C'!E$2:E$1000)+COUNTA(A!E$2:E$1000)=0,C41,ROUND(C41*MAX(0.1,IFERROR(Dashboard!B$3/Dashboard!B$10,1))*(1+Dashboard!F$8*IF(B41="Occ",0.5,IF(B41="Pun",0.35,IF(B41="Tit",0.25,IF(B41="Scm",0.15,0.05))))),0)))</f>
        <v>1</v>
      </c>
      <c r="G41" s="84"/>
    </row>
    <row r="42" spans="1:7">
      <c r="A42" s="116" t="s">
        <v>328</v>
      </c>
      <c r="B42" s="92" t="s">
        <v>13</v>
      </c>
      <c r="C42" s="130">
        <v>50</v>
      </c>
      <c r="D42" s="106" t="s">
        <v>9</v>
      </c>
      <c r="E42" s="78"/>
      <c r="F42" s="121">
        <f>IF(D42&lt;&gt;"L","-",IF(COUNTA(P!E$2:E$1000)+COUNTA(D!E$2:E$1000)+COUNTA('C'!E$2:E$1000)+COUNTA(A!E$2:E$1000)=0,C42,ROUND(C42*MAX(0.1,IFERROR(Dashboard!B$3/Dashboard!B$10,1))*(1+Dashboard!F$8*IF(B42="Occ",0.5,IF(B42="Pun",0.35,IF(B42="Tit",0.25,IF(B42="Scm",0.15,0.05))))),0)))</f>
        <v>50</v>
      </c>
      <c r="G42" s="84"/>
    </row>
    <row r="43" spans="1:7">
      <c r="A43" s="116" t="s">
        <v>329</v>
      </c>
      <c r="B43" s="93" t="s">
        <v>23</v>
      </c>
      <c r="C43" s="130">
        <v>20</v>
      </c>
      <c r="D43" s="106" t="s">
        <v>9</v>
      </c>
      <c r="E43" s="78"/>
      <c r="F43" s="121">
        <f>IF(D43&lt;&gt;"L","-",IF(COUNTA(P!E$2:E$1000)+COUNTA(D!E$2:E$1000)+COUNTA('C'!E$2:E$1000)+COUNTA(A!E$2:E$1000)=0,C43,ROUND(C43*MAX(0.1,IFERROR(Dashboard!B$3/Dashboard!B$10,1))*(1+Dashboard!F$8*IF(B43="Occ",0.5,IF(B43="Pun",0.35,IF(B43="Tit",0.25,IF(B43="Scm",0.15,0.05))))),0)))</f>
        <v>20</v>
      </c>
      <c r="G43" s="84"/>
    </row>
    <row r="44" spans="1:7">
      <c r="A44" s="116" t="s">
        <v>330</v>
      </c>
      <c r="B44" s="94" t="s">
        <v>15</v>
      </c>
      <c r="C44" s="130">
        <v>10</v>
      </c>
      <c r="D44" s="106" t="s">
        <v>9</v>
      </c>
      <c r="E44" s="78"/>
      <c r="F44" s="121">
        <f>IF(D44&lt;&gt;"L","-",IF(COUNTA(P!E$2:E$1000)+COUNTA(D!E$2:E$1000)+COUNTA('C'!E$2:E$1000)+COUNTA(A!E$2:E$1000)=0,C44,ROUND(C44*MAX(0.1,IFERROR(Dashboard!B$3/Dashboard!B$10,1))*(1+Dashboard!F$8*IF(B44="Occ",0.5,IF(B44="Pun",0.35,IF(B44="Tit",0.25,IF(B44="Scm",0.15,0.05))))),0)))</f>
        <v>10</v>
      </c>
      <c r="G44" s="84"/>
    </row>
    <row r="45" spans="1:7">
      <c r="A45" s="116" t="s">
        <v>331</v>
      </c>
      <c r="B45" s="99" t="s">
        <v>41</v>
      </c>
      <c r="C45" s="130">
        <v>10</v>
      </c>
      <c r="D45" s="106" t="s">
        <v>9</v>
      </c>
      <c r="E45" s="78"/>
      <c r="F45" s="121">
        <f>IF(D45&lt;&gt;"L","-",IF(COUNTA(P!E$2:E$1000)+COUNTA(D!E$2:E$1000)+COUNTA('C'!E$2:E$1000)+COUNTA(A!E$2:E$1000)=0,C45,ROUND(C45*MAX(0.1,IFERROR(Dashboard!B$3/Dashboard!B$10,1))*(1+Dashboard!F$8*IF(B45="Occ",0.5,IF(B45="Pun",0.35,IF(B45="Tit",0.25,IF(B45="Scm",0.15,0.05))))),0)))</f>
        <v>10</v>
      </c>
      <c r="G45" s="84"/>
    </row>
    <row r="46" spans="1:7">
      <c r="A46" s="116" t="s">
        <v>332</v>
      </c>
      <c r="B46" s="92" t="s">
        <v>13</v>
      </c>
      <c r="C46" s="129">
        <v>65</v>
      </c>
      <c r="D46" s="106" t="s">
        <v>9</v>
      </c>
      <c r="E46" s="78"/>
      <c r="F46" s="121">
        <f>IF(D46&lt;&gt;"L","-",IF(COUNTA(P!E$2:E$1000)+COUNTA(D!E$2:E$1000)+COUNTA('C'!E$2:E$1000)+COUNTA(A!E$2:E$1000)=0,C46,ROUND(C46*MAX(0.1,IFERROR(Dashboard!B$3/Dashboard!B$10,1))*(1+Dashboard!F$8*IF(B46="Occ",0.5,IF(B46="Pun",0.35,IF(B46="Tit",0.25,IF(B46="Scm",0.15,0.05))))),0)))</f>
        <v>65</v>
      </c>
      <c r="G46" s="84" t="s">
        <v>121</v>
      </c>
    </row>
    <row r="47" spans="1:7">
      <c r="A47" s="116" t="s">
        <v>333</v>
      </c>
      <c r="B47" s="93" t="s">
        <v>23</v>
      </c>
      <c r="C47" s="130">
        <v>30</v>
      </c>
      <c r="D47" s="106" t="s">
        <v>9</v>
      </c>
      <c r="E47" s="78"/>
      <c r="F47" s="121">
        <f>IF(D47&lt;&gt;"L","-",IF(COUNTA(P!E$2:E$1000)+COUNTA(D!E$2:E$1000)+COUNTA('C'!E$2:E$1000)+COUNTA(A!E$2:E$1000)=0,C47,ROUND(C47*MAX(0.1,IFERROR(Dashboard!B$3/Dashboard!B$10,1))*(1+Dashboard!F$8*IF(B47="Occ",0.5,IF(B47="Pun",0.35,IF(B47="Tit",0.25,IF(B47="Scm",0.15,0.05))))),0)))</f>
        <v>30</v>
      </c>
      <c r="G47" s="84"/>
    </row>
    <row r="48" spans="1:7">
      <c r="A48" s="116" t="s">
        <v>334</v>
      </c>
      <c r="B48" s="93" t="s">
        <v>23</v>
      </c>
      <c r="C48" s="130">
        <v>1</v>
      </c>
      <c r="D48" s="106" t="s">
        <v>9</v>
      </c>
      <c r="E48" s="78"/>
      <c r="F48" s="121">
        <f>IF(D48&lt;&gt;"L","-",IF(COUNTA(P!E$2:E$1000)+COUNTA(D!E$2:E$1000)+COUNTA('C'!E$2:E$1000)+COUNTA(A!E$2:E$1000)=0,C48,ROUND(C48*MAX(0.1,IFERROR(Dashboard!B$3/Dashboard!B$10,1))*(1+Dashboard!F$8*IF(B48="Occ",0.5,IF(B48="Pun",0.35,IF(B48="Tit",0.25,IF(B48="Scm",0.15,0.05))))),0)))</f>
        <v>1</v>
      </c>
      <c r="G48" s="84"/>
    </row>
    <row r="49" spans="1:7">
      <c r="A49" s="116" t="s">
        <v>335</v>
      </c>
      <c r="B49" s="94" t="s">
        <v>15</v>
      </c>
      <c r="C49" s="129">
        <v>1</v>
      </c>
      <c r="D49" s="106" t="s">
        <v>9</v>
      </c>
      <c r="E49" s="78"/>
      <c r="F49" s="121">
        <f>IF(D49&lt;&gt;"L","-",IF(COUNTA(P!E$2:E$1000)+COUNTA(D!E$2:E$1000)+COUNTA('C'!E$2:E$1000)+COUNTA(A!E$2:E$1000)=0,C49,ROUND(C49*MAX(0.1,IFERROR(Dashboard!B$3/Dashboard!B$10,1))*(1+Dashboard!F$8*IF(B49="Occ",0.5,IF(B49="Pun",0.35,IF(B49="Tit",0.25,IF(B49="Scm",0.15,0.05))))),0)))</f>
        <v>1</v>
      </c>
      <c r="G49" s="84"/>
    </row>
    <row r="50" spans="1:7">
      <c r="A50" s="116" t="s">
        <v>336</v>
      </c>
      <c r="B50" s="99" t="s">
        <v>41</v>
      </c>
      <c r="C50" s="130">
        <v>65</v>
      </c>
      <c r="D50" s="106" t="s">
        <v>9</v>
      </c>
      <c r="E50" s="78"/>
      <c r="F50" s="121">
        <f>IF(D50&lt;&gt;"L","-",IF(COUNTA(P!E$2:E$1000)+COUNTA(D!E$2:E$1000)+COUNTA('C'!E$2:E$1000)+COUNTA(A!E$2:E$1000)=0,C50,ROUND(C50*MAX(0.1,IFERROR(Dashboard!B$3/Dashboard!B$10,1))*(1+Dashboard!F$8*IF(B50="Occ",0.5,IF(B50="Pun",0.35,IF(B50="Tit",0.25,IF(B50="Scm",0.15,0.05))))),0)))</f>
        <v>65</v>
      </c>
      <c r="G50" s="84" t="s">
        <v>121</v>
      </c>
    </row>
    <row r="51" spans="1:7">
      <c r="A51" s="116" t="s">
        <v>337</v>
      </c>
      <c r="B51" s="91" t="s">
        <v>8</v>
      </c>
      <c r="C51" s="129">
        <v>45</v>
      </c>
      <c r="D51" s="106" t="s">
        <v>9</v>
      </c>
      <c r="E51" s="78"/>
      <c r="F51" s="121">
        <f>IF(D51&lt;&gt;"L","-",IF(COUNTA(P!E$2:E$1000)+COUNTA(D!E$2:E$1000)+COUNTA('C'!E$2:E$1000)+COUNTA(A!E$2:E$1000)=0,C51,ROUND(C51*MAX(0.1,IFERROR(Dashboard!B$3/Dashboard!B$10,1))*(1+Dashboard!F$8*IF(B51="Occ",0.5,IF(B51="Pun",0.35,IF(B51="Tit",0.25,IF(B51="Scm",0.15,0.05))))),0)))</f>
        <v>45</v>
      </c>
      <c r="G51" s="84"/>
    </row>
    <row r="52" spans="1:7">
      <c r="A52" s="116" t="s">
        <v>338</v>
      </c>
      <c r="B52" s="92" t="s">
        <v>13</v>
      </c>
      <c r="C52" s="129">
        <v>30</v>
      </c>
      <c r="D52" s="106" t="s">
        <v>9</v>
      </c>
      <c r="E52" s="78"/>
      <c r="F52" s="121">
        <f>IF(D52&lt;&gt;"L","-",IF(COUNTA(P!E$2:E$1000)+COUNTA(D!E$2:E$1000)+COUNTA('C'!E$2:E$1000)+COUNTA(A!E$2:E$1000)=0,C52,ROUND(C52*MAX(0.1,IFERROR(Dashboard!B$3/Dashboard!B$10,1))*(1+Dashboard!F$8*IF(B52="Occ",0.5,IF(B52="Pun",0.35,IF(B52="Tit",0.25,IF(B52="Scm",0.15,0.05))))),0)))</f>
        <v>30</v>
      </c>
      <c r="G52" s="84"/>
    </row>
    <row r="53" spans="1:7">
      <c r="A53" s="116" t="s">
        <v>339</v>
      </c>
      <c r="B53" s="94" t="s">
        <v>15</v>
      </c>
      <c r="C53" s="130">
        <v>1</v>
      </c>
      <c r="D53" s="106" t="s">
        <v>9</v>
      </c>
      <c r="E53" s="78"/>
      <c r="F53" s="121">
        <f>IF(D53&lt;&gt;"L","-",IF(COUNTA(P!E$2:E$1000)+COUNTA(D!E$2:E$1000)+COUNTA('C'!E$2:E$1000)+COUNTA(A!E$2:E$1000)=0,C53,ROUND(C53*MAX(0.1,IFERROR(Dashboard!B$3/Dashboard!B$10,1))*(1+Dashboard!F$8*IF(B53="Occ",0.5,IF(B53="Pun",0.35,IF(B53="Tit",0.25,IF(B53="Scm",0.15,0.05))))),0)))</f>
        <v>1</v>
      </c>
      <c r="G53" s="84"/>
    </row>
    <row r="54" spans="1:7">
      <c r="A54" s="116" t="s">
        <v>340</v>
      </c>
      <c r="B54" s="93" t="s">
        <v>23</v>
      </c>
      <c r="C54" s="129">
        <v>1</v>
      </c>
      <c r="D54" s="106" t="s">
        <v>9</v>
      </c>
      <c r="E54" s="78"/>
      <c r="F54" s="121">
        <f>IF(D54&lt;&gt;"L","-",IF(COUNTA(P!E$2:E$1000)+COUNTA(D!E$2:E$1000)+COUNTA('C'!E$2:E$1000)+COUNTA(A!E$2:E$1000)=0,C54,ROUND(C54*MAX(0.1,IFERROR(Dashboard!B$3/Dashboard!B$10,1))*(1+Dashboard!F$8*IF(B54="Occ",0.5,IF(B54="Pun",0.35,IF(B54="Tit",0.25,IF(B54="Scm",0.15,0.05))))),0)))</f>
        <v>1</v>
      </c>
      <c r="G54" s="84"/>
    </row>
    <row r="55" spans="1:7">
      <c r="A55" s="116" t="s">
        <v>341</v>
      </c>
      <c r="B55" s="91" t="s">
        <v>8</v>
      </c>
      <c r="C55" s="129">
        <v>150</v>
      </c>
      <c r="D55" s="106" t="s">
        <v>9</v>
      </c>
      <c r="E55" s="78"/>
      <c r="F55" s="121">
        <f>IF(D55&lt;&gt;"L","-",IF(COUNTA(P!E$2:E$1000)+COUNTA(D!E$2:E$1000)+COUNTA('C'!E$2:E$1000)+COUNTA(A!E$2:E$1000)=0,C55,ROUND(C55*MAX(0.1,IFERROR(Dashboard!B$3/Dashboard!B$10,1))*(1+Dashboard!F$8*IF(B55="Occ",0.5,IF(B55="Pun",0.35,IF(B55="Tit",0.25,IF(B55="Scm",0.15,0.05))))),0)))</f>
        <v>150</v>
      </c>
      <c r="G55" s="84"/>
    </row>
    <row r="56" spans="1:7">
      <c r="A56" s="117" t="s">
        <v>342</v>
      </c>
      <c r="B56" s="91" t="s">
        <v>8</v>
      </c>
      <c r="C56" s="130">
        <v>40</v>
      </c>
      <c r="D56" s="106" t="s">
        <v>9</v>
      </c>
      <c r="E56" s="78"/>
      <c r="F56" s="121">
        <f>IF(D56&lt;&gt;"L","-",IF(COUNTA(P!E$2:E$1000)+COUNTA(D!E$2:E$1000)+COUNTA('C'!E$2:E$1000)+COUNTA(A!E$2:E$1000)=0,C56,ROUND(C56*MAX(0.1,IFERROR(Dashboard!B$3/Dashboard!B$10,1))*(1+Dashboard!F$8*IF(B56="Occ",0.5,IF(B56="Pun",0.35,IF(B56="Tit",0.25,IF(B56="Scm",0.15,0.05))))),0)))</f>
        <v>40</v>
      </c>
      <c r="G56" s="84" t="s">
        <v>121</v>
      </c>
    </row>
    <row r="57" spans="1:7">
      <c r="A57" s="116" t="s">
        <v>343</v>
      </c>
      <c r="B57" s="93" t="s">
        <v>23</v>
      </c>
      <c r="C57" s="130">
        <v>25</v>
      </c>
      <c r="D57" s="106" t="s">
        <v>9</v>
      </c>
      <c r="E57" s="78"/>
      <c r="F57" s="121">
        <f>IF(D57&lt;&gt;"L","-",IF(COUNTA(P!E$2:E$1000)+COUNTA(D!E$2:E$1000)+COUNTA('C'!E$2:E$1000)+COUNTA(A!E$2:E$1000)=0,C57,ROUND(C57*MAX(0.1,IFERROR(Dashboard!B$3/Dashboard!B$10,1))*(1+Dashboard!F$8*IF(B57="Occ",0.5,IF(B57="Pun",0.35,IF(B57="Tit",0.25,IF(B57="Scm",0.15,0.05))))),0)))</f>
        <v>25</v>
      </c>
      <c r="G57" s="84" t="s">
        <v>121</v>
      </c>
    </row>
    <row r="58" spans="1:7">
      <c r="A58" s="116" t="s">
        <v>344</v>
      </c>
      <c r="B58" s="99" t="s">
        <v>41</v>
      </c>
      <c r="C58" s="130">
        <v>20</v>
      </c>
      <c r="D58" s="106" t="s">
        <v>9</v>
      </c>
      <c r="E58" s="78"/>
      <c r="F58" s="121">
        <f>IF(D58&lt;&gt;"L","-",IF(COUNTA(P!E$2:E$1000)+COUNTA(D!E$2:E$1000)+COUNTA('C'!E$2:E$1000)+COUNTA(A!E$2:E$1000)=0,C58,ROUND(C58*MAX(0.1,IFERROR(Dashboard!B$3/Dashboard!B$10,1))*(1+Dashboard!F$8*IF(B58="Occ",0.5,IF(B58="Pun",0.35,IF(B58="Tit",0.25,IF(B58="Scm",0.15,0.05))))),0)))</f>
        <v>20</v>
      </c>
      <c r="G58" s="84"/>
    </row>
    <row r="59" spans="1:7">
      <c r="A59" s="117" t="s">
        <v>345</v>
      </c>
      <c r="B59" s="99" t="s">
        <v>41</v>
      </c>
      <c r="C59" s="130">
        <v>20</v>
      </c>
      <c r="D59" s="106" t="s">
        <v>9</v>
      </c>
      <c r="E59" s="78"/>
      <c r="F59" s="121">
        <f>IF(D59&lt;&gt;"L","-",IF(COUNTA(P!E$2:E$1000)+COUNTA(D!E$2:E$1000)+COUNTA('C'!E$2:E$1000)+COUNTA(A!E$2:E$1000)=0,C59,ROUND(C59*MAX(0.1,IFERROR(Dashboard!B$3/Dashboard!B$10,1))*(1+Dashboard!F$8*IF(B59="Occ",0.5,IF(B59="Pun",0.35,IF(B59="Tit",0.25,IF(B59="Scm",0.15,0.05))))),0)))</f>
        <v>20</v>
      </c>
      <c r="G59" s="84"/>
    </row>
    <row r="60" spans="1:7">
      <c r="A60" s="116" t="s">
        <v>346</v>
      </c>
      <c r="B60" s="92" t="s">
        <v>13</v>
      </c>
      <c r="C60" s="129">
        <v>100</v>
      </c>
      <c r="D60" s="106" t="s">
        <v>9</v>
      </c>
      <c r="E60" s="78"/>
      <c r="F60" s="121">
        <f>IF(D60&lt;&gt;"L","-",IF(COUNTA(P!E$2:E$1000)+COUNTA(D!E$2:E$1000)+COUNTA('C'!E$2:E$1000)+COUNTA(A!E$2:E$1000)=0,C60,ROUND(C60*MAX(0.1,IFERROR(Dashboard!B$3/Dashboard!B$10,1))*(1+Dashboard!F$8*IF(B60="Occ",0.5,IF(B60="Pun",0.35,IF(B60="Tit",0.25,IF(B60="Scm",0.15,0.05))))),0)))</f>
        <v>100</v>
      </c>
      <c r="G60" s="84"/>
    </row>
    <row r="61" spans="1:7">
      <c r="A61" s="174" t="s">
        <v>347</v>
      </c>
      <c r="B61" s="95" t="s">
        <v>15</v>
      </c>
      <c r="C61" s="132">
        <v>1</v>
      </c>
      <c r="D61" s="164" t="s">
        <v>9</v>
      </c>
      <c r="E61" s="79"/>
      <c r="F61" s="175">
        <f>IF(D61&lt;&gt;"L","-",IF(COUNTA(P!E$2:E$1000)+COUNTA(D!E$2:E$1000)+COUNTA('C'!E$2:E$1000)+COUNTA(A!E$2:E$1000)=0,C61,ROUND(C61*MAX(0.1,IFERROR(Dashboard!B$3/Dashboard!B$10,1))*(1+Dashboard!F$8*IF(B61="Occ",0.5,IF(B61="Pun",0.35,IF(B61="Tit",0.25,IF(B61="Scm",0.15,0.05))))),0)))</f>
        <v>1</v>
      </c>
      <c r="G61" s="86"/>
    </row>
    <row r="62" spans="1:7">
      <c r="B62" s="22"/>
      <c r="F62" s="123"/>
    </row>
    <row r="63" spans="1:7">
      <c r="B63" s="22"/>
      <c r="F63" s="123"/>
    </row>
    <row r="64" spans="1:7">
      <c r="B64" s="22"/>
      <c r="F64" s="123"/>
    </row>
    <row r="65" spans="2:6">
      <c r="B65" s="22"/>
      <c r="F65" s="123"/>
    </row>
    <row r="66" spans="2:6">
      <c r="B66" s="22"/>
      <c r="F66" s="123"/>
    </row>
    <row r="67" spans="2:6">
      <c r="B67" s="22"/>
      <c r="F67" s="123"/>
    </row>
    <row r="68" spans="2:6">
      <c r="B68" s="22"/>
      <c r="F68" s="123"/>
    </row>
    <row r="69" spans="2:6">
      <c r="B69" s="22"/>
      <c r="F69" s="123"/>
    </row>
    <row r="70" spans="2:6">
      <c r="B70" s="22"/>
      <c r="F70" s="123"/>
    </row>
    <row r="71" spans="2:6">
      <c r="B71" s="22"/>
      <c r="F71" s="123"/>
    </row>
    <row r="72" spans="2:6">
      <c r="B72" s="22"/>
      <c r="F72" s="123"/>
    </row>
    <row r="73" spans="2:6">
      <c r="B73" s="22"/>
      <c r="F73" s="123"/>
    </row>
    <row r="74" spans="2:6">
      <c r="B74" s="22"/>
      <c r="F74" s="123"/>
    </row>
    <row r="75" spans="2:6">
      <c r="B75" s="22"/>
      <c r="F75" s="123"/>
    </row>
    <row r="76" spans="2:6">
      <c r="B76" s="22"/>
      <c r="F76" s="123"/>
    </row>
    <row r="77" spans="2:6">
      <c r="B77" s="22"/>
      <c r="F77" s="123"/>
    </row>
    <row r="78" spans="2:6">
      <c r="B78" s="22"/>
      <c r="F78" s="123"/>
    </row>
    <row r="79" spans="2:6">
      <c r="B79" s="22"/>
      <c r="F79" s="123"/>
    </row>
    <row r="80" spans="2:6">
      <c r="B80" s="22"/>
      <c r="F80" s="123"/>
    </row>
    <row r="81" spans="2:6">
      <c r="B81" s="22"/>
      <c r="F81" s="123"/>
    </row>
    <row r="82" spans="2:6">
      <c r="B82" s="22"/>
      <c r="F82" s="123"/>
    </row>
    <row r="83" spans="2:6">
      <c r="B83" s="22"/>
      <c r="F83" s="123"/>
    </row>
    <row r="84" spans="2:6">
      <c r="B84" s="22"/>
      <c r="F84" s="123"/>
    </row>
    <row r="85" spans="2:6">
      <c r="B85" s="22"/>
      <c r="F85" s="123"/>
    </row>
    <row r="86" spans="2:6">
      <c r="B86" s="22"/>
      <c r="F86" s="123"/>
    </row>
    <row r="87" spans="2:6">
      <c r="B87" s="22"/>
      <c r="F87" s="123"/>
    </row>
    <row r="88" spans="2:6">
      <c r="B88" s="22"/>
      <c r="F88" s="123"/>
    </row>
    <row r="89" spans="2:6">
      <c r="B89" s="22"/>
      <c r="F89" s="123"/>
    </row>
    <row r="90" spans="2:6">
      <c r="B90" s="22"/>
      <c r="F90" s="123"/>
    </row>
    <row r="91" spans="2:6">
      <c r="B91" s="22"/>
      <c r="F91" s="123"/>
    </row>
    <row r="92" spans="2:6">
      <c r="B92" s="22"/>
      <c r="F92" s="123"/>
    </row>
    <row r="93" spans="2:6">
      <c r="B93" s="22"/>
      <c r="F93" s="123"/>
    </row>
    <row r="94" spans="2:6">
      <c r="B94" s="22"/>
      <c r="F94" s="123"/>
    </row>
    <row r="95" spans="2:6">
      <c r="B95" s="22"/>
      <c r="F95" s="123"/>
    </row>
    <row r="96" spans="2:6">
      <c r="B96" s="22"/>
      <c r="F96" s="123"/>
    </row>
    <row r="97" spans="2:6">
      <c r="B97" s="22"/>
      <c r="F97" s="123"/>
    </row>
    <row r="98" spans="2:6">
      <c r="B98" s="22"/>
      <c r="F98" s="123"/>
    </row>
    <row r="99" spans="2:6">
      <c r="B99" s="22"/>
      <c r="F99" s="123"/>
    </row>
    <row r="100" spans="2:6">
      <c r="B100" s="22"/>
      <c r="F100" s="123"/>
    </row>
    <row r="101" spans="2:6">
      <c r="B101" s="22"/>
      <c r="F101" s="123"/>
    </row>
    <row r="102" spans="2:6">
      <c r="B102" s="22"/>
      <c r="F102" s="123"/>
    </row>
    <row r="103" spans="2:6">
      <c r="B103" s="22"/>
      <c r="F103" s="123"/>
    </row>
    <row r="104" spans="2:6">
      <c r="B104" s="22"/>
      <c r="F104" s="123"/>
    </row>
    <row r="105" spans="2:6">
      <c r="B105" s="22"/>
      <c r="F105" s="123"/>
    </row>
    <row r="106" spans="2:6">
      <c r="B106" s="22"/>
      <c r="F106" s="123"/>
    </row>
    <row r="107" spans="2:6">
      <c r="B107" s="22"/>
      <c r="F107" s="123"/>
    </row>
    <row r="108" spans="2:6">
      <c r="B108" s="22"/>
      <c r="F108" s="123"/>
    </row>
    <row r="109" spans="2:6">
      <c r="B109" s="22"/>
      <c r="F109" s="123"/>
    </row>
    <row r="110" spans="2:6">
      <c r="B110" s="22"/>
      <c r="F110" s="123"/>
    </row>
    <row r="111" spans="2:6">
      <c r="B111" s="22"/>
      <c r="F111" s="123"/>
    </row>
    <row r="112" spans="2:6">
      <c r="B112" s="22"/>
      <c r="F112" s="123"/>
    </row>
    <row r="113" spans="2:6">
      <c r="B113" s="22"/>
      <c r="F113" s="123"/>
    </row>
    <row r="114" spans="2:6">
      <c r="B114" s="22"/>
      <c r="F114" s="123"/>
    </row>
    <row r="115" spans="2:6">
      <c r="B115" s="22"/>
      <c r="F115" s="123"/>
    </row>
    <row r="116" spans="2:6">
      <c r="B116" s="22"/>
      <c r="F116" s="123"/>
    </row>
    <row r="117" spans="2:6">
      <c r="B117" s="22"/>
      <c r="F117" s="123"/>
    </row>
    <row r="118" spans="2:6">
      <c r="B118" s="22"/>
      <c r="F118" s="123"/>
    </row>
    <row r="119" spans="2:6">
      <c r="B119" s="22"/>
      <c r="F119" s="123"/>
    </row>
    <row r="120" spans="2:6">
      <c r="B120" s="22"/>
      <c r="F120" s="123"/>
    </row>
    <row r="121" spans="2:6">
      <c r="B121" s="22"/>
      <c r="F121" s="123"/>
    </row>
    <row r="122" spans="2:6">
      <c r="B122" s="22"/>
      <c r="F122" s="123"/>
    </row>
    <row r="123" spans="2:6">
      <c r="B123" s="22"/>
      <c r="F123" s="123"/>
    </row>
    <row r="124" spans="2:6">
      <c r="B124" s="22"/>
      <c r="F124" s="123"/>
    </row>
    <row r="125" spans="2:6">
      <c r="B125" s="22"/>
      <c r="F125" s="123"/>
    </row>
    <row r="126" spans="2:6">
      <c r="B126" s="22"/>
      <c r="F126" s="123"/>
    </row>
    <row r="127" spans="2:6">
      <c r="B127" s="22"/>
      <c r="F127" s="123"/>
    </row>
    <row r="128" spans="2:6">
      <c r="B128" s="22"/>
      <c r="F128" s="123"/>
    </row>
    <row r="129" spans="2:6">
      <c r="B129" s="22"/>
      <c r="F129" s="123"/>
    </row>
    <row r="130" spans="2:6">
      <c r="B130" s="22"/>
      <c r="F130" s="123"/>
    </row>
    <row r="131" spans="2:6">
      <c r="B131" s="22"/>
      <c r="F131" s="123"/>
    </row>
    <row r="132" spans="2:6">
      <c r="B132" s="22"/>
      <c r="F132" s="123"/>
    </row>
    <row r="133" spans="2:6">
      <c r="B133" s="22"/>
      <c r="F133" s="123"/>
    </row>
    <row r="134" spans="2:6">
      <c r="B134" s="22"/>
      <c r="F134" s="123"/>
    </row>
    <row r="135" spans="2:6">
      <c r="B135" s="22"/>
      <c r="F135" s="123"/>
    </row>
    <row r="136" spans="2:6">
      <c r="B136" s="22"/>
      <c r="F136" s="123"/>
    </row>
    <row r="137" spans="2:6">
      <c r="B137" s="22"/>
      <c r="F137" s="123"/>
    </row>
    <row r="138" spans="2:6">
      <c r="B138" s="22"/>
      <c r="F138" s="123"/>
    </row>
    <row r="139" spans="2:6">
      <c r="B139" s="22"/>
      <c r="F139" s="123"/>
    </row>
    <row r="140" spans="2:6">
      <c r="B140" s="22"/>
      <c r="F140" s="123"/>
    </row>
    <row r="141" spans="2:6">
      <c r="B141" s="22"/>
      <c r="F141" s="123"/>
    </row>
    <row r="142" spans="2:6">
      <c r="B142" s="22"/>
      <c r="F142" s="123"/>
    </row>
    <row r="143" spans="2:6">
      <c r="B143" s="22"/>
      <c r="F143" s="123"/>
    </row>
    <row r="144" spans="2:6">
      <c r="B144" s="22"/>
      <c r="F144" s="123"/>
    </row>
    <row r="145" spans="2:6">
      <c r="B145" s="22"/>
      <c r="F145" s="123"/>
    </row>
    <row r="146" spans="2:6">
      <c r="B146" s="22"/>
      <c r="F146" s="123"/>
    </row>
    <row r="147" spans="2:6">
      <c r="B147" s="22"/>
      <c r="F147" s="123"/>
    </row>
    <row r="148" spans="2:6">
      <c r="B148" s="22"/>
      <c r="F148" s="123"/>
    </row>
    <row r="149" spans="2:6">
      <c r="B149" s="22"/>
      <c r="F149" s="123"/>
    </row>
    <row r="150" spans="2:6">
      <c r="B150" s="22"/>
      <c r="F150" s="123"/>
    </row>
    <row r="151" spans="2:6">
      <c r="B151" s="22"/>
      <c r="F151" s="123"/>
    </row>
    <row r="152" spans="2:6">
      <c r="B152" s="22"/>
      <c r="F152" s="123"/>
    </row>
    <row r="153" spans="2:6">
      <c r="B153" s="22"/>
      <c r="F153" s="123"/>
    </row>
    <row r="154" spans="2:6">
      <c r="B154" s="22"/>
      <c r="F154" s="123"/>
    </row>
    <row r="155" spans="2:6">
      <c r="B155" s="22"/>
      <c r="F155" s="123"/>
    </row>
    <row r="156" spans="2:6">
      <c r="B156" s="22"/>
      <c r="F156" s="123"/>
    </row>
    <row r="157" spans="2:6">
      <c r="B157" s="22"/>
      <c r="F157" s="123"/>
    </row>
    <row r="158" spans="2:6">
      <c r="B158" s="22"/>
      <c r="F158" s="123"/>
    </row>
    <row r="159" spans="2:6">
      <c r="B159" s="22"/>
      <c r="F159" s="123"/>
    </row>
    <row r="160" spans="2:6">
      <c r="B160" s="22"/>
      <c r="F160" s="123"/>
    </row>
    <row r="161" spans="2:6">
      <c r="B161" s="22"/>
      <c r="F161" s="123"/>
    </row>
    <row r="162" spans="2:6">
      <c r="B162" s="22"/>
      <c r="F162" s="123"/>
    </row>
    <row r="163" spans="2:6">
      <c r="B163" s="22"/>
      <c r="F163" s="123"/>
    </row>
    <row r="164" spans="2:6">
      <c r="B164" s="22"/>
      <c r="F164" s="123"/>
    </row>
    <row r="165" spans="2:6">
      <c r="B165" s="22"/>
      <c r="F165" s="123"/>
    </row>
    <row r="166" spans="2:6">
      <c r="B166" s="22"/>
      <c r="F166" s="123"/>
    </row>
    <row r="167" spans="2:6">
      <c r="B167" s="22"/>
      <c r="F167" s="123"/>
    </row>
    <row r="168" spans="2:6">
      <c r="B168" s="22"/>
      <c r="F168" s="123"/>
    </row>
    <row r="169" spans="2:6">
      <c r="B169" s="22"/>
      <c r="F169" s="123"/>
    </row>
    <row r="170" spans="2:6">
      <c r="B170" s="22"/>
      <c r="F170" s="123"/>
    </row>
    <row r="171" spans="2:6">
      <c r="B171" s="22"/>
      <c r="F171" s="123"/>
    </row>
    <row r="172" spans="2:6">
      <c r="B172" s="22"/>
      <c r="F172" s="123"/>
    </row>
    <row r="173" spans="2:6">
      <c r="B173" s="22"/>
      <c r="F173" s="123"/>
    </row>
    <row r="174" spans="2:6">
      <c r="B174" s="22"/>
      <c r="F174" s="123"/>
    </row>
    <row r="175" spans="2:6">
      <c r="B175" s="22"/>
      <c r="F175" s="123"/>
    </row>
    <row r="176" spans="2:6">
      <c r="B176" s="22"/>
      <c r="F176" s="123"/>
    </row>
    <row r="177" spans="2:6">
      <c r="B177" s="22"/>
      <c r="F177" s="123"/>
    </row>
    <row r="178" spans="2:6">
      <c r="B178" s="22"/>
      <c r="F178" s="123"/>
    </row>
    <row r="179" spans="2:6">
      <c r="B179" s="22"/>
      <c r="F179" s="123"/>
    </row>
    <row r="180" spans="2:6">
      <c r="B180" s="22"/>
      <c r="F180" s="123"/>
    </row>
    <row r="181" spans="2:6">
      <c r="B181" s="22"/>
      <c r="F181" s="123"/>
    </row>
    <row r="182" spans="2:6">
      <c r="B182" s="22"/>
      <c r="F182" s="123"/>
    </row>
    <row r="183" spans="2:6">
      <c r="B183" s="22"/>
      <c r="F183" s="123"/>
    </row>
    <row r="184" spans="2:6">
      <c r="B184" s="22"/>
      <c r="F184" s="123"/>
    </row>
    <row r="185" spans="2:6">
      <c r="B185" s="22"/>
      <c r="F185" s="123"/>
    </row>
    <row r="186" spans="2:6">
      <c r="B186" s="22"/>
      <c r="F186" s="123"/>
    </row>
    <row r="187" spans="2:6">
      <c r="B187" s="22"/>
      <c r="F187" s="123"/>
    </row>
    <row r="188" spans="2:6">
      <c r="B188" s="22"/>
      <c r="F188" s="123"/>
    </row>
    <row r="189" spans="2:6">
      <c r="B189" s="22"/>
      <c r="F189" s="123"/>
    </row>
    <row r="190" spans="2:6">
      <c r="B190" s="22"/>
      <c r="F190" s="123"/>
    </row>
  </sheetData>
  <sheetProtection sheet="1" objects="1" scenarios="1"/>
  <autoFilter ref="A1:G1" xr:uid="{60350283-2A04-406B-914A-6D814F6E4439}"/>
  <sortState xmlns:xlrd2="http://schemas.microsoft.com/office/spreadsheetml/2017/richdata2" ref="A4:B75">
    <sortCondition ref="A4:A75"/>
  </sortState>
  <conditionalFormatting sqref="A1:XFD1 A62:XFD1048576 A2:C61 E2:XFD6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6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1A4C064-6F5F-4AFE-8F0A-49C6C9B37A06}">
          <x14:formula1>
            <xm:f>Tutti!$O$4:$O$7</xm:f>
          </x14:formula1>
          <xm:sqref>B64:F65 B22:B61</xm:sqref>
        </x14:dataValidation>
        <x14:dataValidation type="list" allowBlank="1" showInputMessage="1" showErrorMessage="1" xr:uid="{2B27E65A-9E9F-4093-872D-91DD9DE4978E}">
          <x14:formula1>
            <xm:f>Utils!$A$2:$A$4</xm:f>
          </x14:formula1>
          <xm:sqref>D2:D61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270AA-B0A8-492C-BCF4-A276DF41D67F}">
  <dimension ref="A1:AF10"/>
  <sheetViews>
    <sheetView tabSelected="1" workbookViewId="0">
      <selection activeCell="I7" sqref="I7"/>
    </sheetView>
  </sheetViews>
  <sheetFormatPr defaultRowHeight="15"/>
  <cols>
    <col min="1" max="1" width="30.140625" bestFit="1" customWidth="1"/>
    <col min="2" max="2" width="6.5703125" bestFit="1" customWidth="1"/>
    <col min="3" max="3" width="6.85546875" bestFit="1" customWidth="1"/>
    <col min="4" max="4" width="6.85546875" customWidth="1"/>
    <col min="5" max="6" width="6.7109375" bestFit="1" customWidth="1"/>
    <col min="7" max="7" width="14.5703125" bestFit="1" customWidth="1"/>
    <col min="8" max="8" width="12.5703125" bestFit="1" customWidth="1"/>
    <col min="9" max="9" width="12.7109375" bestFit="1" customWidth="1"/>
    <col min="10" max="10" width="12.5703125" bestFit="1" customWidth="1"/>
    <col min="11" max="11" width="12.7109375" bestFit="1" customWidth="1"/>
    <col min="14" max="14" width="14.140625" bestFit="1" customWidth="1"/>
    <col min="15" max="15" width="13.28515625" bestFit="1" customWidth="1"/>
    <col min="16" max="16" width="12.140625" bestFit="1" customWidth="1"/>
    <col min="17" max="17" width="17.42578125" bestFit="1" customWidth="1"/>
    <col min="18" max="18" width="13.85546875" bestFit="1" customWidth="1"/>
    <col min="19" max="19" width="19.7109375" style="146" bestFit="1" customWidth="1"/>
    <col min="20" max="20" width="14.7109375" style="146" bestFit="1" customWidth="1"/>
    <col min="21" max="21" width="20" style="146" bestFit="1" customWidth="1"/>
    <col min="22" max="22" width="11.42578125" style="146" bestFit="1" customWidth="1"/>
    <col min="23" max="23" width="10.28515625" style="146" bestFit="1" customWidth="1"/>
    <col min="24" max="24" width="15.5703125" style="146" bestFit="1" customWidth="1"/>
    <col min="25" max="25" width="9.140625" style="146"/>
    <col min="26" max="26" width="11.7109375" bestFit="1" customWidth="1"/>
    <col min="27" max="27" width="14.28515625" bestFit="1" customWidth="1"/>
    <col min="29" max="29" width="10.5703125" bestFit="1" customWidth="1"/>
    <col min="30" max="30" width="13" bestFit="1" customWidth="1"/>
  </cols>
  <sheetData>
    <row r="1" spans="1:32">
      <c r="A1" t="s">
        <v>348</v>
      </c>
      <c r="B1">
        <v>500</v>
      </c>
      <c r="AA1" s="88"/>
      <c r="AB1" s="88"/>
      <c r="AC1" s="88"/>
      <c r="AD1" s="88"/>
      <c r="AE1" s="88"/>
      <c r="AF1" s="88"/>
    </row>
    <row r="2" spans="1:32">
      <c r="A2" t="s">
        <v>349</v>
      </c>
      <c r="B2">
        <f>E5+E6+E7+E8+SUM(Extra!C2:C5)</f>
        <v>0</v>
      </c>
      <c r="G2" t="s">
        <v>350</v>
      </c>
      <c r="H2" t="s">
        <v>351</v>
      </c>
      <c r="I2" t="s">
        <v>352</v>
      </c>
      <c r="J2" t="s">
        <v>353</v>
      </c>
      <c r="K2" t="s">
        <v>354</v>
      </c>
      <c r="L2" t="s">
        <v>355</v>
      </c>
      <c r="M2" t="s">
        <v>356</v>
      </c>
      <c r="N2" t="s">
        <v>357</v>
      </c>
      <c r="O2" t="s">
        <v>358</v>
      </c>
      <c r="P2" t="s">
        <v>359</v>
      </c>
      <c r="Q2" t="s">
        <v>360</v>
      </c>
      <c r="R2" t="s">
        <v>361</v>
      </c>
      <c r="S2" s="146" t="s">
        <v>362</v>
      </c>
      <c r="T2" s="146" t="s">
        <v>363</v>
      </c>
      <c r="U2" s="146" t="s">
        <v>364</v>
      </c>
      <c r="V2" s="146" t="s">
        <v>365</v>
      </c>
      <c r="W2" s="146" t="s">
        <v>366</v>
      </c>
      <c r="X2" s="146" t="s">
        <v>367</v>
      </c>
      <c r="Y2" s="146" t="s">
        <v>368</v>
      </c>
      <c r="Z2" t="s">
        <v>369</v>
      </c>
      <c r="AA2" s="88">
        <v>0.9</v>
      </c>
      <c r="AB2" s="88"/>
      <c r="AC2" s="88"/>
      <c r="AD2" s="88"/>
      <c r="AE2" s="88"/>
      <c r="AF2" s="88"/>
    </row>
    <row r="3" spans="1:32">
      <c r="A3" t="s">
        <v>370</v>
      </c>
      <c r="B3">
        <f>B1-B2</f>
        <v>500</v>
      </c>
      <c r="Z3" s="88" t="s">
        <v>371</v>
      </c>
      <c r="AA3" s="88">
        <v>0.9</v>
      </c>
      <c r="AB3" s="88"/>
      <c r="AC3" s="88"/>
      <c r="AD3" s="88"/>
      <c r="AE3" s="88"/>
      <c r="AF3" s="88"/>
    </row>
    <row r="4" spans="1:32">
      <c r="A4" t="s">
        <v>372</v>
      </c>
      <c r="B4">
        <f>IF(B9&gt;0, B3/B9, 0)</f>
        <v>20</v>
      </c>
      <c r="Z4" s="88" t="s">
        <v>373</v>
      </c>
      <c r="AA4" s="88">
        <v>0.8</v>
      </c>
      <c r="AB4" s="88"/>
      <c r="AC4" s="88"/>
      <c r="AD4" s="88"/>
      <c r="AE4" s="88"/>
      <c r="AF4" s="88"/>
    </row>
    <row r="5" spans="1:32">
      <c r="A5" t="s">
        <v>374</v>
      </c>
      <c r="B5">
        <v>3</v>
      </c>
      <c r="C5">
        <f>B5-COUNTIF(P!D:D,"M")-Extra!B2</f>
        <v>3</v>
      </c>
      <c r="D5">
        <v>30</v>
      </c>
      <c r="E5">
        <f>SUMIF(P!D:D,"M",P!E:E)+Extra!C2</f>
        <v>0</v>
      </c>
      <c r="F5">
        <f>1 - (((COUNTIFS(P!B:B,"Occ",P!D:D,"L")*5) + (COUNTIFS(P!B:B,"Pun",P!D:D,"L")*4) + (COUNTIFS(P!B:B,"Tit",P!D:D,"L")*3) + (COUNTIFS(P!B:B,"Scm",P!D:D,"L")*2) + (COUNTIFS(P!B:B,"Sca",P!D:D,"L")*1)) / ((COUNTIF(P!B:B,"Occ")*5) + (COUNTIF(P!B:B,"Pun")*4) + (COUNTIF(P!B:B,"Tit")*3) + (COUNTIF(P!B:B,"Scm")*2) + (COUNTIF(P!B:B,"Sca")*1)))</f>
        <v>0</v>
      </c>
      <c r="G5" t="s">
        <v>375</v>
      </c>
      <c r="H5">
        <f>ROUNDUP($B5*30%,0)</f>
        <v>1</v>
      </c>
      <c r="I5">
        <f>ROUNDUP($B5*30%,0)</f>
        <v>1</v>
      </c>
      <c r="J5">
        <f>COUNTIFS(P!B:B,"Occ",P!D:D,"M")+COUNTIFS(P!B:B,"Pun",P!D:D,"M")</f>
        <v>0</v>
      </c>
      <c r="K5">
        <f>COUNTIFS(P!B:B,"Tit",P!D:D,"M")</f>
        <v>0</v>
      </c>
      <c r="L5">
        <f>MAX(0,H5-J5)</f>
        <v>1</v>
      </c>
      <c r="M5">
        <f>MAX(0,I5-K5)</f>
        <v>1</v>
      </c>
      <c r="N5">
        <f>MAX(0,C5-L5-M5)</f>
        <v>1</v>
      </c>
      <c r="O5">
        <f>IFERROR(($D5/$B5)*1.425/1.2425,0)</f>
        <v>11.468812877263582</v>
      </c>
      <c r="P5">
        <f>IFERROR(($D5/$B5)*1.25/1.2425,0)</f>
        <v>10.06036217303823</v>
      </c>
      <c r="Q5">
        <f>IFERROR(($D5/$B5)*1.1/1.2425,0)</f>
        <v>8.853118712273643</v>
      </c>
      <c r="R5">
        <f>L5*O5+M5*P5+N5*Q5</f>
        <v>30.382293762575458</v>
      </c>
      <c r="S5" s="146">
        <f>MAX(0,L5-1)*O5+M5*P5+MAX(0,C5-1-MAX(0,L5-1)-M5)*Q5</f>
        <v>18.913480885311873</v>
      </c>
      <c r="T5" s="146">
        <f>L5*O5+MAX(0,M5-1)*P5+MAX(0,C5-1-L5-MAX(0,M5-1))*Q5</f>
        <v>20.321931589537225</v>
      </c>
      <c r="U5" s="146">
        <f>L5*O5+M5*P5+MAX(0,C5-1-L5-M5)*Q5</f>
        <v>21.529175050301813</v>
      </c>
      <c r="V5" s="146">
        <f>MAX(0,MIN(1,IFERROR(($D5-$E5)/(($O5+$S5)*$AA$2),1)))^$Y5</f>
        <v>1</v>
      </c>
      <c r="W5" s="146">
        <f>MAX(0,MIN(1,IFERROR(($D5-$E5)/(($P5+$T5)*$AA$2),1)))^$Y5</f>
        <v>1</v>
      </c>
      <c r="X5" s="146">
        <f>MAX(0,MIN(1,IFERROR(($D5-$E5)/(($Q5+$U5)*$AA$2),1)))^$Y5</f>
        <v>1</v>
      </c>
      <c r="Y5" s="146">
        <v>3</v>
      </c>
      <c r="AA5" s="88"/>
      <c r="AB5" s="88"/>
      <c r="AC5" s="88"/>
      <c r="AD5" s="88"/>
      <c r="AE5" s="88"/>
      <c r="AF5" s="88"/>
    </row>
    <row r="6" spans="1:32">
      <c r="A6" t="s">
        <v>376</v>
      </c>
      <c r="B6">
        <v>8</v>
      </c>
      <c r="C6">
        <f>B6-COUNTIF(D!D:D,"M")-Extra!B3</f>
        <v>8</v>
      </c>
      <c r="D6">
        <v>45</v>
      </c>
      <c r="E6">
        <f>SUMIF(D!D:D,"M",D!E:E)+Extra!C3</f>
        <v>0</v>
      </c>
      <c r="F6">
        <f>1 - (((COUNTIFS(D!B:B,"Occ",D!D:D,"L")*5) + (COUNTIFS(D!B:B,"Pun",D!D:D,"L")*4) + (COUNTIFS(D!B:B,"Tit",D!D:D,"L")*3) + (COUNTIFS(D!B:B,"Scm",D!D:D,"L")*2) + (COUNTIFS(D!B:B,"Sca",D!D:D,"L")*1)) / ((COUNTIF(D!B:B,"Occ")*5) + (COUNTIF(D!B:B,"Pun")*4) + (COUNTIF(D!B:B,"Tit")*3) + (COUNTIF(D!B:B,"Scm")*2) + (COUNTIF(D!B:B,"Sca")*1)))</f>
        <v>0</v>
      </c>
      <c r="G6" t="s">
        <v>377</v>
      </c>
      <c r="H6">
        <f>ROUNDUP($B6*30%,0)</f>
        <v>3</v>
      </c>
      <c r="I6">
        <f>ROUNDUP($B6*20%,0)</f>
        <v>2</v>
      </c>
      <c r="J6">
        <f>COUNTIFS(D!B:B,"Occ",D!D:D,"M")+COUNTIFS(D!B:B,"Pun",D!D:D,"M")</f>
        <v>0</v>
      </c>
      <c r="K6">
        <f>COUNTIFS(D!B:B,"Tit",D!D:D,"M")</f>
        <v>0</v>
      </c>
      <c r="L6">
        <f t="shared" ref="L6:L8" si="0">MAX(0,H6-J6)</f>
        <v>3</v>
      </c>
      <c r="M6">
        <f t="shared" ref="M6:M8" si="1">MAX(0,I6-K6)</f>
        <v>2</v>
      </c>
      <c r="N6">
        <f t="shared" ref="N6:N8" si="2">MAX(0,C6-L6-M6)</f>
        <v>3</v>
      </c>
      <c r="O6">
        <f t="shared" ref="O6:O8" si="3">IFERROR(($D6/$B6)*1.425/1.2425,0)</f>
        <v>6.4512072434607646</v>
      </c>
      <c r="P6">
        <f t="shared" ref="P6:P8" si="4">IFERROR(($D6/$B6)*1.25/1.2425,0)</f>
        <v>5.6589537223340045</v>
      </c>
      <c r="Q6">
        <f t="shared" ref="Q6:Q8" si="5">IFERROR(($D6/$B6)*1.1/1.2425,0)</f>
        <v>4.9798792756539241</v>
      </c>
      <c r="R6">
        <f t="shared" ref="R6:R8" si="6">L6*O6+M6*P6+N6*Q6</f>
        <v>45.611167002012074</v>
      </c>
      <c r="S6" s="146">
        <f t="shared" ref="S6:S8" si="7">MAX(0,L6-1)*O6+M6*P6+MAX(0,C6-1-MAX(0,L6-1)-M6)*Q6</f>
        <v>39.15995975855131</v>
      </c>
      <c r="T6" s="146">
        <f t="shared" ref="T6:T8" si="8">L6*O6+MAX(0,M6-1)*P6+MAX(0,C6-1-L6-MAX(0,M6-1))*Q6</f>
        <v>39.95221327967807</v>
      </c>
      <c r="U6" s="146">
        <f t="shared" ref="U6:U8" si="9">L6*O6+M6*P6+MAX(0,C6-1-L6-M6)*Q6</f>
        <v>40.631287726358153</v>
      </c>
      <c r="V6" s="146">
        <f>MAX(0,MIN(1,IFERROR(($D6-$E6)/(($O6+$S6)*$AA$3),1)))^$Y6</f>
        <v>1</v>
      </c>
      <c r="W6" s="146">
        <f>MAX(0,MIN(1,IFERROR(($D6-$E6)/(($P6+$T6)*$AA$3),1)))^$Y6</f>
        <v>1</v>
      </c>
      <c r="X6" s="146">
        <f>MAX(0,MIN(1,IFERROR(($D6-$E6)/(($Q6+$U6)*$AA$3),1)))^$Y6</f>
        <v>1</v>
      </c>
      <c r="Y6" s="146">
        <v>2</v>
      </c>
      <c r="AA6" s="88"/>
      <c r="AB6" s="88"/>
      <c r="AC6" s="88"/>
      <c r="AD6" s="88"/>
      <c r="AE6" s="88"/>
      <c r="AF6" s="88"/>
    </row>
    <row r="7" spans="1:32">
      <c r="A7" t="s">
        <v>378</v>
      </c>
      <c r="B7">
        <v>8</v>
      </c>
      <c r="C7">
        <f>B7-COUNTIF('C'!D:D,"M")-Extra!B4</f>
        <v>8</v>
      </c>
      <c r="D7">
        <v>100</v>
      </c>
      <c r="E7">
        <f>SUMIF('C'!D:D,"M",'C'!E:E)+Extra!C4</f>
        <v>0</v>
      </c>
      <c r="F7">
        <f>1 - (((COUNTIFS('C'!B:B,"Occ",'C'!D:D,"L")*5) + (COUNTIFS('C'!B:B,"Pun",'C'!D:D,"L")*4) + (COUNTIFS('C'!B:B,"Tit",'C'!D:D,"L")*3) + (COUNTIFS('C'!B:B,"Scm",'C'!D:D,"L")*2) + (COUNTIFS('C'!B:B,"Sca",'C'!D:D,"L")*1)) / ((COUNTIF('C'!B:B,"Occ")*5) + (COUNTIF('C'!B:B,"Pun")*4) + (COUNTIF('C'!B:B,"Tit")*3) + (COUNTIF('C'!B:B,"Scm")*2) + (COUNTIF('C'!B:B,"Sca")*1)))</f>
        <v>0</v>
      </c>
      <c r="G7" t="s">
        <v>379</v>
      </c>
      <c r="H7">
        <f>ROUNDUP($B7*30%,0)</f>
        <v>3</v>
      </c>
      <c r="I7">
        <f>ROUNDUP($B7*20%,0)</f>
        <v>2</v>
      </c>
      <c r="J7">
        <f>COUNTIFS('C'!B:B,"Occ",'C'!D:D,"M")+COUNTIFS('C'!B:B,"Pun",'C'!D:D,"M")</f>
        <v>0</v>
      </c>
      <c r="K7">
        <f>COUNTIFS('C'!B:B,"Tit",'C'!D:D,"M")</f>
        <v>0</v>
      </c>
      <c r="L7">
        <f t="shared" si="0"/>
        <v>3</v>
      </c>
      <c r="M7">
        <f t="shared" si="1"/>
        <v>2</v>
      </c>
      <c r="N7">
        <f t="shared" si="2"/>
        <v>3</v>
      </c>
      <c r="O7">
        <f t="shared" si="3"/>
        <v>14.336016096579478</v>
      </c>
      <c r="P7">
        <f t="shared" si="4"/>
        <v>12.575452716297788</v>
      </c>
      <c r="Q7">
        <f t="shared" si="5"/>
        <v>11.066398390342055</v>
      </c>
      <c r="R7">
        <f t="shared" si="6"/>
        <v>101.35814889336017</v>
      </c>
      <c r="S7" s="146">
        <f t="shared" si="7"/>
        <v>87.022132796780696</v>
      </c>
      <c r="T7" s="146">
        <f t="shared" si="8"/>
        <v>88.782696177062377</v>
      </c>
      <c r="U7" s="146">
        <f t="shared" si="9"/>
        <v>90.291750503018108</v>
      </c>
      <c r="V7" s="146">
        <f>MAX(0,MIN(1,IFERROR(($D7-$E7)/(($O7+$S7)*$AA$4),1)))^$Y7</f>
        <v>1</v>
      </c>
      <c r="W7" s="146">
        <f>MAX(0,MIN(1,IFERROR(($D7-$E7)/(($P7+$T7)*$AA$4),1)))^$Y7</f>
        <v>1</v>
      </c>
      <c r="X7" s="146">
        <f>MAX(0,MIN(1,IFERROR(($D7-$E7)/(($Q7+$U7)*$AA$4),1)))^$Y7</f>
        <v>1</v>
      </c>
      <c r="Y7" s="146">
        <v>0.5</v>
      </c>
      <c r="AA7" s="88"/>
      <c r="AB7" s="88"/>
      <c r="AC7" s="88"/>
      <c r="AD7" s="88"/>
      <c r="AE7" s="88"/>
      <c r="AF7" s="88"/>
    </row>
    <row r="8" spans="1:32">
      <c r="A8" t="s">
        <v>380</v>
      </c>
      <c r="B8">
        <v>6</v>
      </c>
      <c r="C8">
        <f>B8-COUNTIF(A!D:D,"M")-Extra!B5</f>
        <v>6</v>
      </c>
      <c r="D8">
        <v>325</v>
      </c>
      <c r="E8">
        <f>SUMIF(A!D:D,"M",A!E:E)+Extra!C5</f>
        <v>0</v>
      </c>
      <c r="F8">
        <f>1 - (((COUNTIFS(A!B:B,"Occ",A!D:D,"L")*5) + (COUNTIFS(A!B:B,"Pun",A!D:D,"L")*4) + (COUNTIFS(A!B:B,"Tit",A!D:D,"L")*3) + (COUNTIFS(A!B:B,"Scm",A!D:D,"L")*2) + (COUNTIFS(A!B:B,"Sca",A!D:D,"L")*1)) / ((COUNTIF(A!B:B,"Occ")*5) + (COUNTIF(A!B:B,"Pun")*4) + (COUNTIF(A!B:B,"Tit")*3) + (COUNTIF(A!B:B,"Scm")*2) + (COUNTIF(A!B:B,"Sca")*1)))</f>
        <v>0</v>
      </c>
      <c r="G8" t="s">
        <v>381</v>
      </c>
      <c r="H8">
        <f t="shared" ref="H6:I8" si="10">ROUNDUP($B8*30%,0)</f>
        <v>2</v>
      </c>
      <c r="I8">
        <f>ROUNDUP($B8*10%,0)</f>
        <v>1</v>
      </c>
      <c r="J8">
        <f>COUNTIFS(A!B:B,"Occ",A!D:D,"M")+COUNTIFS(A!B:B,"Pun",A!D:D,"M")</f>
        <v>0</v>
      </c>
      <c r="K8">
        <f>COUNTIFS(A!B:B,"Tit",A!D:D,"M")</f>
        <v>0</v>
      </c>
      <c r="L8">
        <f t="shared" si="0"/>
        <v>2</v>
      </c>
      <c r="M8">
        <f t="shared" si="1"/>
        <v>1</v>
      </c>
      <c r="N8">
        <f t="shared" si="2"/>
        <v>3</v>
      </c>
      <c r="O8">
        <f t="shared" si="3"/>
        <v>62.122736418511067</v>
      </c>
      <c r="P8">
        <f t="shared" si="4"/>
        <v>54.493628437290411</v>
      </c>
      <c r="Q8">
        <f t="shared" si="5"/>
        <v>47.954393024815566</v>
      </c>
      <c r="R8">
        <f t="shared" si="6"/>
        <v>322.60228034875922</v>
      </c>
      <c r="S8" s="146">
        <f t="shared" si="7"/>
        <v>260.47954393024816</v>
      </c>
      <c r="T8" s="146">
        <f t="shared" si="8"/>
        <v>268.10865191146883</v>
      </c>
      <c r="U8" s="146">
        <f t="shared" si="9"/>
        <v>274.64788732394368</v>
      </c>
      <c r="V8" s="146">
        <v>1</v>
      </c>
      <c r="W8" s="146">
        <v>1</v>
      </c>
      <c r="X8" s="146">
        <v>1</v>
      </c>
      <c r="Y8" s="146">
        <v>0</v>
      </c>
      <c r="AA8" s="88"/>
      <c r="AB8" s="88"/>
      <c r="AC8" s="88"/>
      <c r="AD8" s="88"/>
      <c r="AE8" s="88"/>
      <c r="AF8" s="88"/>
    </row>
    <row r="9" spans="1:32">
      <c r="A9" t="s">
        <v>382</v>
      </c>
      <c r="B9">
        <f>SUM(C5:C8)</f>
        <v>25</v>
      </c>
      <c r="AA9" s="88"/>
      <c r="AB9" s="88"/>
      <c r="AC9" s="88"/>
      <c r="AD9" s="88"/>
      <c r="AE9" s="88"/>
      <c r="AF9" s="88"/>
    </row>
    <row r="10" spans="1:32">
      <c r="A10" t="s">
        <v>383</v>
      </c>
      <c r="B10">
        <f>SUM(R5:R8)</f>
        <v>499.9538900067069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69733-D371-4720-A94D-4AB4A8214D86}">
  <dimension ref="A1:C5"/>
  <sheetViews>
    <sheetView workbookViewId="0">
      <selection activeCell="D2" sqref="D2"/>
    </sheetView>
  </sheetViews>
  <sheetFormatPr defaultRowHeight="15"/>
  <sheetData>
    <row r="1" spans="1:3">
      <c r="A1" s="170" t="s">
        <v>350</v>
      </c>
      <c r="B1" s="171" t="s">
        <v>384</v>
      </c>
      <c r="C1" s="172" t="s">
        <v>385</v>
      </c>
    </row>
    <row r="2" spans="1:3">
      <c r="A2" s="167" t="s">
        <v>375</v>
      </c>
      <c r="B2" s="168">
        <v>0</v>
      </c>
      <c r="C2" s="169">
        <v>0</v>
      </c>
    </row>
    <row r="3" spans="1:3">
      <c r="A3" s="148" t="s">
        <v>377</v>
      </c>
      <c r="B3" s="147">
        <v>0</v>
      </c>
      <c r="C3" s="149">
        <v>0</v>
      </c>
    </row>
    <row r="4" spans="1:3">
      <c r="A4" s="148" t="s">
        <v>379</v>
      </c>
      <c r="B4" s="147">
        <v>0</v>
      </c>
      <c r="C4" s="149">
        <v>0</v>
      </c>
    </row>
    <row r="5" spans="1:3">
      <c r="A5" s="150" t="s">
        <v>381</v>
      </c>
      <c r="B5" s="151">
        <v>0</v>
      </c>
      <c r="C5" s="15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2C01F-B65C-4CD1-9514-4660000DA09A}">
  <dimension ref="A1:M35"/>
  <sheetViews>
    <sheetView workbookViewId="0">
      <selection activeCell="A2" sqref="A2:L2"/>
    </sheetView>
  </sheetViews>
  <sheetFormatPr defaultRowHeight="15"/>
  <cols>
    <col min="1" max="1" width="14" bestFit="1" customWidth="1"/>
    <col min="3" max="3" width="18.42578125" customWidth="1"/>
    <col min="5" max="5" width="17" bestFit="1" customWidth="1"/>
    <col min="7" max="7" width="15.140625" bestFit="1" customWidth="1"/>
    <col min="8" max="8" width="10.5703125" bestFit="1" customWidth="1"/>
    <col min="9" max="9" width="18" bestFit="1" customWidth="1"/>
    <col min="10" max="10" width="20.42578125" customWidth="1"/>
    <col min="11" max="11" width="18.5703125" bestFit="1" customWidth="1"/>
    <col min="12" max="12" width="13" bestFit="1" customWidth="1"/>
    <col min="13" max="13" width="13" style="88" bestFit="1" customWidth="1"/>
  </cols>
  <sheetData>
    <row r="1" spans="1:13">
      <c r="A1" s="176" t="s">
        <v>386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8"/>
      <c r="M1" s="205"/>
    </row>
    <row r="2" spans="1:13">
      <c r="A2" s="188" t="s">
        <v>387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90"/>
      <c r="M2" s="186"/>
    </row>
    <row r="3" spans="1:1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163"/>
    </row>
    <row r="4" spans="1:13">
      <c r="A4" s="22" t="s">
        <v>348</v>
      </c>
      <c r="B4" s="22"/>
      <c r="C4" s="22" t="s">
        <v>388</v>
      </c>
      <c r="D4" s="22"/>
      <c r="E4" s="22" t="s">
        <v>370</v>
      </c>
      <c r="F4" s="22"/>
      <c r="G4" s="22" t="s">
        <v>389</v>
      </c>
      <c r="H4" s="22"/>
      <c r="I4" s="22" t="s">
        <v>390</v>
      </c>
      <c r="J4" s="22" t="s">
        <v>391</v>
      </c>
      <c r="K4" s="22"/>
      <c r="L4" s="163" t="s">
        <v>392</v>
      </c>
    </row>
    <row r="5" spans="1:13">
      <c r="A5" s="22">
        <f>Dashboard!B1</f>
        <v>500</v>
      </c>
      <c r="B5" s="22"/>
      <c r="C5" s="209">
        <f>Dashboard!B2</f>
        <v>0</v>
      </c>
      <c r="D5" s="22"/>
      <c r="E5" s="209">
        <f>Dashboard!B3</f>
        <v>500</v>
      </c>
      <c r="F5" s="22"/>
      <c r="G5" s="211">
        <f>IFERROR(Dashboard!B2/Dashboard!B1,0)</f>
        <v>0</v>
      </c>
      <c r="H5" s="22"/>
      <c r="I5" s="22">
        <f>SUM(Dashboard!B5:B8)</f>
        <v>25</v>
      </c>
      <c r="J5" s="22">
        <f>I5-L5</f>
        <v>0</v>
      </c>
      <c r="K5" s="22"/>
      <c r="L5" s="163">
        <f>SUM(Dashboard!B5:B8)</f>
        <v>25</v>
      </c>
    </row>
    <row r="6" spans="1:13">
      <c r="A6" s="208" t="s">
        <v>393</v>
      </c>
      <c r="B6" s="22"/>
      <c r="C6" s="22" t="s">
        <v>394</v>
      </c>
      <c r="D6" s="22"/>
      <c r="E6" s="193" t="s">
        <v>395</v>
      </c>
      <c r="F6" s="22"/>
      <c r="G6" s="22" t="s">
        <v>396</v>
      </c>
      <c r="H6" s="22"/>
      <c r="I6" s="22" t="s">
        <v>397</v>
      </c>
      <c r="J6" s="22" t="s">
        <v>398</v>
      </c>
      <c r="K6" s="22"/>
      <c r="L6" s="163" t="s">
        <v>399</v>
      </c>
    </row>
    <row r="7" spans="1:13">
      <c r="A7" s="166" t="str">
        <f>IF(COUNTA(P!E2:E1000)+COUNTA(D!E2:E1000)+COUNTA('C'!E2:E1000)+COUNTA(A!E2:E1000)+SUM(Extra!B2:B5)&gt;0,"IN CORSO","NON INIZIATA")</f>
        <v>NON INIZIATA</v>
      </c>
      <c r="B7" s="165"/>
      <c r="C7" s="165">
        <f>Dashboard!B10</f>
        <v>499.9538900067069</v>
      </c>
      <c r="D7" s="165"/>
      <c r="E7" s="194">
        <f>Dashboard!B3-Dashboard!B10</f>
        <v>4.6109993293100615E-2</v>
      </c>
      <c r="F7" s="165"/>
      <c r="G7" s="165" t="str">
        <f>IF(COUNTA(P!E2:E1000)+COUNTA(D!E2:E1000)+COUNTA('C'!E2:E1000)+COUNTA(A!E2:E1000)+SUM(Extra!B2:B5)&gt;0,"SÌ","NO")</f>
        <v>NO</v>
      </c>
      <c r="H7" s="165"/>
      <c r="I7" s="165">
        <f>COUNTA(P!E2:E1000)+COUNTA(D!E2:E1000)+COUNTA('C'!E2:E1000)+COUNTA(A!E2:E1000)</f>
        <v>0</v>
      </c>
      <c r="J7" s="165">
        <f>IFERROR((SUMIF(P!C:C,"M",P!D:D)+SUMIF(D!C:C,"M",D!D:D)+SUMIF('C'!C:C,"M",'C'!D:D)+SUMIF(A!C:C,"M",A!D:D))/(COUNTIF(P!C:C,"M")+COUNTIF(D!C:C,"M")+COUNTIF('C'!C:C,"M")+COUNTIF(A!C:C,"M")),0)</f>
        <v>0</v>
      </c>
      <c r="K7" s="165"/>
      <c r="L7" s="166">
        <f>SUM(Extra!A2:A5)</f>
        <v>0</v>
      </c>
    </row>
    <row r="8" spans="1:13">
      <c r="A8" s="153"/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206"/>
    </row>
    <row r="9" spans="1:13">
      <c r="A9" s="153"/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206"/>
    </row>
    <row r="10" spans="1:13">
      <c r="A10" s="187" t="s">
        <v>400</v>
      </c>
      <c r="B10" s="182"/>
      <c r="C10" s="182"/>
      <c r="D10" s="182"/>
      <c r="E10" s="182"/>
      <c r="F10" s="182"/>
      <c r="G10" s="182"/>
      <c r="H10" s="182"/>
      <c r="I10" s="183"/>
      <c r="J10" s="176" t="s">
        <v>401</v>
      </c>
      <c r="K10" s="177"/>
      <c r="L10" s="178"/>
      <c r="M10" s="205"/>
    </row>
    <row r="11" spans="1:13">
      <c r="A11" s="162" t="s">
        <v>350</v>
      </c>
      <c r="B11" s="162" t="s">
        <v>402</v>
      </c>
      <c r="C11" s="162" t="s">
        <v>403</v>
      </c>
      <c r="D11" s="162" t="s">
        <v>404</v>
      </c>
      <c r="E11" s="162" t="s">
        <v>405</v>
      </c>
      <c r="F11" s="162" t="s">
        <v>406</v>
      </c>
      <c r="G11" s="162" t="s">
        <v>407</v>
      </c>
      <c r="H11" s="162" t="s">
        <v>408</v>
      </c>
      <c r="I11" s="76" t="s">
        <v>409</v>
      </c>
      <c r="J11" s="180"/>
      <c r="K11" s="180"/>
      <c r="L11" s="181"/>
      <c r="M11" s="205"/>
    </row>
    <row r="12" spans="1:13">
      <c r="A12" s="22" t="s">
        <v>375</v>
      </c>
      <c r="B12" s="22">
        <f>Dashboard!B5</f>
        <v>3</v>
      </c>
      <c r="C12" s="22">
        <f xml:space="preserve"> Dashboard!C5</f>
        <v>3</v>
      </c>
      <c r="D12" s="22">
        <f xml:space="preserve"> B12-C12</f>
        <v>0</v>
      </c>
      <c r="E12" s="209">
        <f>Dashboard!D5</f>
        <v>30</v>
      </c>
      <c r="F12" s="22">
        <f xml:space="preserve"> Dashboard!E5</f>
        <v>0</v>
      </c>
      <c r="G12" s="22">
        <f xml:space="preserve"> E12-F12</f>
        <v>30</v>
      </c>
      <c r="H12" s="184">
        <f>IFERROR(F12/E12,0)</f>
        <v>0</v>
      </c>
      <c r="I12" s="163">
        <f>IFERROR(F12/D12,0)</f>
        <v>0</v>
      </c>
      <c r="J12" s="186" t="s">
        <v>410</v>
      </c>
      <c r="K12" s="22">
        <f>Dashboard!B3-Dashboard!B10</f>
        <v>4.6109993293100615E-2</v>
      </c>
      <c r="L12" s="163" t="str">
        <f>IF(K12&lt;0,"ATTENZIONE","OK")</f>
        <v>OK</v>
      </c>
    </row>
    <row r="13" spans="1:13">
      <c r="A13" s="22" t="s">
        <v>377</v>
      </c>
      <c r="B13" s="22">
        <f>Dashboard!B6</f>
        <v>8</v>
      </c>
      <c r="C13" s="22">
        <f xml:space="preserve"> Dashboard!C6</f>
        <v>8</v>
      </c>
      <c r="D13" s="22">
        <f t="shared" ref="D13:D15" si="0" xml:space="preserve"> B13-C13</f>
        <v>0</v>
      </c>
      <c r="E13" s="209">
        <f>Dashboard!D6</f>
        <v>45</v>
      </c>
      <c r="F13" s="22">
        <f xml:space="preserve"> Dashboard!E6</f>
        <v>0</v>
      </c>
      <c r="G13" s="22">
        <f t="shared" ref="G13:G15" si="1" xml:space="preserve"> E13-F13</f>
        <v>45</v>
      </c>
      <c r="H13" s="184">
        <f t="shared" ref="H13:H15" si="2">IFERROR(F13/E13,0)</f>
        <v>0</v>
      </c>
      <c r="I13" s="163">
        <f t="shared" ref="I13:I15" si="3">IFERROR(F13/D13,0)</f>
        <v>0</v>
      </c>
      <c r="J13" s="186" t="s">
        <v>411</v>
      </c>
      <c r="K13" s="22">
        <f>Dashboard!D5-Dashboard!E5</f>
        <v>30</v>
      </c>
      <c r="L13" s="163" t="str">
        <f t="shared" ref="L13:L16" si="4">IF(K13&lt;0,"ATTENZIONE","OK")</f>
        <v>OK</v>
      </c>
    </row>
    <row r="14" spans="1:13">
      <c r="A14" s="22" t="s">
        <v>379</v>
      </c>
      <c r="B14" s="22">
        <f>Dashboard!B7</f>
        <v>8</v>
      </c>
      <c r="C14" s="22">
        <f xml:space="preserve"> Dashboard!C7</f>
        <v>8</v>
      </c>
      <c r="D14" s="22">
        <f t="shared" si="0"/>
        <v>0</v>
      </c>
      <c r="E14" s="209">
        <f>Dashboard!D7</f>
        <v>100</v>
      </c>
      <c r="F14" s="22">
        <f xml:space="preserve"> Dashboard!E7</f>
        <v>0</v>
      </c>
      <c r="G14" s="22">
        <f t="shared" si="1"/>
        <v>100</v>
      </c>
      <c r="H14" s="184">
        <f t="shared" si="2"/>
        <v>0</v>
      </c>
      <c r="I14" s="163">
        <f t="shared" si="3"/>
        <v>0</v>
      </c>
      <c r="J14" s="186" t="s">
        <v>412</v>
      </c>
      <c r="K14" s="22">
        <f>Dashboard!D6-Dashboard!E6</f>
        <v>45</v>
      </c>
      <c r="L14" s="163" t="str">
        <f t="shared" si="4"/>
        <v>OK</v>
      </c>
    </row>
    <row r="15" spans="1:13">
      <c r="A15" s="165" t="s">
        <v>381</v>
      </c>
      <c r="B15" s="165">
        <f>Dashboard!B8</f>
        <v>6</v>
      </c>
      <c r="C15" s="165">
        <f xml:space="preserve"> Dashboard!C8</f>
        <v>6</v>
      </c>
      <c r="D15" s="165">
        <f t="shared" si="0"/>
        <v>0</v>
      </c>
      <c r="E15" s="210">
        <f>Dashboard!D8</f>
        <v>325</v>
      </c>
      <c r="F15" s="165">
        <f xml:space="preserve"> Dashboard!E8</f>
        <v>0</v>
      </c>
      <c r="G15" s="165">
        <f t="shared" si="1"/>
        <v>325</v>
      </c>
      <c r="H15" s="185">
        <f t="shared" si="2"/>
        <v>0</v>
      </c>
      <c r="I15" s="166">
        <f t="shared" si="3"/>
        <v>0</v>
      </c>
      <c r="J15" s="186" t="s">
        <v>413</v>
      </c>
      <c r="K15" s="22">
        <f>Dashboard!D7-Dashboard!E7</f>
        <v>100</v>
      </c>
      <c r="L15" s="163" t="str">
        <f t="shared" si="4"/>
        <v>OK</v>
      </c>
    </row>
    <row r="16" spans="1:13">
      <c r="A16" s="153"/>
      <c r="B16" s="153"/>
      <c r="C16" s="153"/>
      <c r="D16" s="153"/>
      <c r="E16" s="153"/>
      <c r="F16" s="153"/>
      <c r="G16" s="153"/>
      <c r="H16" s="153"/>
      <c r="I16" s="153"/>
      <c r="J16" s="164" t="s">
        <v>414</v>
      </c>
      <c r="K16" s="165">
        <f>Dashboard!D8-Dashboard!E8</f>
        <v>325</v>
      </c>
      <c r="L16" s="166" t="str">
        <f t="shared" si="4"/>
        <v>OK</v>
      </c>
    </row>
    <row r="17" spans="1:12">
      <c r="A17" s="153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206"/>
    </row>
    <row r="18" spans="1:12">
      <c r="A18" s="187" t="s">
        <v>415</v>
      </c>
      <c r="B18" s="182"/>
      <c r="C18" s="182"/>
      <c r="D18" s="182"/>
      <c r="E18" s="182"/>
      <c r="F18" s="182"/>
      <c r="G18" s="182"/>
      <c r="H18" s="183"/>
      <c r="I18" s="197" t="s">
        <v>416</v>
      </c>
      <c r="J18" s="198"/>
      <c r="K18" s="198"/>
      <c r="L18" s="199"/>
    </row>
    <row r="19" spans="1:12" ht="15" customHeight="1">
      <c r="A19" s="162" t="s">
        <v>350</v>
      </c>
      <c r="B19" s="162" t="s">
        <v>417</v>
      </c>
      <c r="C19" s="162" t="s">
        <v>41</v>
      </c>
      <c r="D19" s="162" t="s">
        <v>418</v>
      </c>
      <c r="E19" s="162" t="s">
        <v>419</v>
      </c>
      <c r="F19" s="162" t="s">
        <v>420</v>
      </c>
      <c r="G19" s="162" t="s">
        <v>421</v>
      </c>
      <c r="H19" s="76" t="s">
        <v>422</v>
      </c>
      <c r="I19" s="200" t="s">
        <v>423</v>
      </c>
      <c r="J19" s="201"/>
      <c r="K19" s="201"/>
      <c r="L19" s="202"/>
    </row>
    <row r="20" spans="1:12">
      <c r="A20" s="22" t="s">
        <v>375</v>
      </c>
      <c r="B20" s="22">
        <f>COUNTIFS(P!B:B,"Occ",P!D:D,"M")+COUNTIFS(P!B:B,"Pun",P!D:D,"M")</f>
        <v>0</v>
      </c>
      <c r="C20" s="22">
        <f>COUNTIFS(P!B:B,"Tit",P!D:D,"M")</f>
        <v>0</v>
      </c>
      <c r="D20" s="22">
        <f>COUNTIFS(P!B:B,"Scm",P!D:D,"M")+COUNTIFS(P!B:B,"Sca",P!D:D,"M")</f>
        <v>0</v>
      </c>
      <c r="E20" s="22">
        <f>SUM(B20:D20)</f>
        <v>0</v>
      </c>
      <c r="F20" s="195">
        <f>IFERROR(B20/E20,0)</f>
        <v>0</v>
      </c>
      <c r="G20" s="195">
        <f>IFERROR(C20/E20,0)</f>
        <v>0</v>
      </c>
      <c r="H20" s="191">
        <f>IFERROR(D20/E20,0)</f>
        <v>0</v>
      </c>
      <c r="I20" s="179"/>
      <c r="J20" s="203"/>
      <c r="K20" s="203"/>
      <c r="L20" s="204"/>
    </row>
    <row r="21" spans="1:12">
      <c r="A21" s="22" t="s">
        <v>377</v>
      </c>
      <c r="B21" s="22">
        <f>COUNTIFS(D!B:B,"Occ",D!D:D,"M")+COUNTIFS(D!B:B,"Pun",D!D:D,"M")</f>
        <v>0</v>
      </c>
      <c r="C21" s="22">
        <f>COUNTIFS(D!B:B,"Tit",D!D:D,"M")</f>
        <v>0</v>
      </c>
      <c r="D21" s="22">
        <f>COUNTIFS(D!B:B,"Scm",D!D:D,"M")+COUNTIFS(D!B:B,"Sca",D!D:D,"M")</f>
        <v>0</v>
      </c>
      <c r="E21" s="22">
        <f t="shared" ref="E21:E23" si="5">SUM(B21:D21)</f>
        <v>0</v>
      </c>
      <c r="F21" s="195">
        <f t="shared" ref="F21:F23" si="6">IFERROR(B21/E21,0)</f>
        <v>0</v>
      </c>
      <c r="G21" s="195">
        <f t="shared" ref="G21:G23" si="7">IFERROR(C21/E21,0)</f>
        <v>0</v>
      </c>
      <c r="H21" s="191">
        <f t="shared" ref="H21:H23" si="8">IFERROR(D21/E21,0)</f>
        <v>0</v>
      </c>
      <c r="I21" s="179"/>
      <c r="J21" s="203"/>
      <c r="K21" s="203"/>
      <c r="L21" s="204"/>
    </row>
    <row r="22" spans="1:12">
      <c r="A22" s="22" t="s">
        <v>379</v>
      </c>
      <c r="B22" s="22">
        <f>COUNTIFS('C'!B:B,"Occ",'C'!D:D,"M")+COUNTIFS('C'!B:B,"Pun",'C'!D:D,"M")</f>
        <v>0</v>
      </c>
      <c r="C22" s="22">
        <f>COUNTIFS('C'!B:B,"Tit",'C'!D:D,"M")</f>
        <v>0</v>
      </c>
      <c r="D22" s="22">
        <f>COUNTIFS('C'!B:B,"Scm",'C'!D:D,"M")+COUNTIFS('C'!B:B,"Sca",'C'!D:D,"M")</f>
        <v>0</v>
      </c>
      <c r="E22" s="22">
        <f t="shared" si="5"/>
        <v>0</v>
      </c>
      <c r="F22" s="195">
        <f t="shared" si="6"/>
        <v>0</v>
      </c>
      <c r="G22" s="195">
        <f t="shared" si="7"/>
        <v>0</v>
      </c>
      <c r="H22" s="191">
        <f t="shared" si="8"/>
        <v>0</v>
      </c>
      <c r="I22" s="179"/>
      <c r="J22" s="203"/>
      <c r="K22" s="203"/>
      <c r="L22" s="204"/>
    </row>
    <row r="23" spans="1:12">
      <c r="A23" s="165" t="s">
        <v>381</v>
      </c>
      <c r="B23" s="165">
        <f>COUNTIFS(A!B:B,"Occ",A!D:D,"M")+COUNTIFS(A!B:B,"Pun",A!D:D,"M")</f>
        <v>0</v>
      </c>
      <c r="C23" s="165">
        <f>COUNTIFS(A!B:B,"Tit",A!D:D,"M")</f>
        <v>0</v>
      </c>
      <c r="D23" s="165">
        <f>COUNTIFS(A!B:B,"Scm",A!D:D,"M")+COUNTIFS(A!B:B,"Sca",A!D:D,"M")</f>
        <v>0</v>
      </c>
      <c r="E23" s="165">
        <f t="shared" si="5"/>
        <v>0</v>
      </c>
      <c r="F23" s="196">
        <f t="shared" si="6"/>
        <v>0</v>
      </c>
      <c r="G23" s="196">
        <f t="shared" si="7"/>
        <v>0</v>
      </c>
      <c r="H23" s="192">
        <f t="shared" si="8"/>
        <v>0</v>
      </c>
      <c r="I23" s="179"/>
      <c r="J23" s="203"/>
      <c r="K23" s="203"/>
      <c r="L23" s="204"/>
    </row>
    <row r="24" spans="1:12">
      <c r="A24" s="153"/>
      <c r="B24" s="153"/>
      <c r="C24" s="153"/>
      <c r="D24" s="153"/>
      <c r="E24" s="153"/>
      <c r="F24" s="153"/>
      <c r="G24" s="153"/>
      <c r="H24" s="153"/>
      <c r="I24" s="1"/>
      <c r="J24" s="22"/>
      <c r="K24" s="22"/>
      <c r="L24" s="163"/>
    </row>
    <row r="25" spans="1:12">
      <c r="A25" s="153"/>
      <c r="B25" s="153"/>
      <c r="C25" s="153"/>
      <c r="D25" s="153"/>
      <c r="E25" s="153"/>
      <c r="F25" s="153"/>
      <c r="G25" s="153"/>
      <c r="H25" s="153"/>
      <c r="I25" s="1" t="s">
        <v>350</v>
      </c>
      <c r="J25" s="22" t="s">
        <v>424</v>
      </c>
      <c r="K25" s="22" t="s">
        <v>425</v>
      </c>
      <c r="L25" s="163"/>
    </row>
    <row r="26" spans="1:12">
      <c r="A26" s="153"/>
      <c r="B26" s="153"/>
      <c r="C26" s="153"/>
      <c r="D26" s="153"/>
      <c r="E26" s="153"/>
      <c r="F26" s="153"/>
      <c r="G26" s="153"/>
      <c r="H26" s="153"/>
      <c r="I26" s="1" t="s">
        <v>375</v>
      </c>
      <c r="J26" s="22">
        <f>Dashboard!D5</f>
        <v>30</v>
      </c>
      <c r="K26" s="22">
        <f>Dashboard!E5</f>
        <v>0</v>
      </c>
      <c r="L26" s="163"/>
    </row>
    <row r="27" spans="1:12">
      <c r="A27" s="153"/>
      <c r="B27" s="153"/>
      <c r="C27" s="153"/>
      <c r="D27" s="153"/>
      <c r="E27" s="153"/>
      <c r="F27" s="153"/>
      <c r="G27" s="153"/>
      <c r="H27" s="153"/>
      <c r="I27" s="1" t="s">
        <v>377</v>
      </c>
      <c r="J27" s="22">
        <f>Dashboard!D6</f>
        <v>45</v>
      </c>
      <c r="K27" s="22">
        <f>Dashboard!E6</f>
        <v>0</v>
      </c>
      <c r="L27" s="163"/>
    </row>
    <row r="28" spans="1:12">
      <c r="A28" s="153"/>
      <c r="B28" s="153"/>
      <c r="C28" s="153"/>
      <c r="D28" s="153"/>
      <c r="E28" s="153"/>
      <c r="F28" s="153"/>
      <c r="G28" s="153"/>
      <c r="H28" s="153"/>
      <c r="I28" s="1" t="s">
        <v>379</v>
      </c>
      <c r="J28" s="22">
        <f>Dashboard!D7</f>
        <v>100</v>
      </c>
      <c r="K28" s="22">
        <f>Dashboard!E7</f>
        <v>0</v>
      </c>
      <c r="L28" s="163"/>
    </row>
    <row r="29" spans="1:12">
      <c r="A29" s="153"/>
      <c r="B29" s="153"/>
      <c r="C29" s="153"/>
      <c r="D29" s="153"/>
      <c r="E29" s="153"/>
      <c r="F29" s="153"/>
      <c r="G29" s="153"/>
      <c r="H29" s="153"/>
      <c r="I29" s="1" t="s">
        <v>381</v>
      </c>
      <c r="J29" s="22">
        <f>Dashboard!D8</f>
        <v>325</v>
      </c>
      <c r="K29" s="22">
        <f>Dashboard!E8</f>
        <v>0</v>
      </c>
      <c r="L29" s="163"/>
    </row>
    <row r="30" spans="1:12">
      <c r="A30" s="153"/>
      <c r="B30" s="153"/>
      <c r="C30" s="153"/>
      <c r="D30" s="153"/>
      <c r="E30" s="153"/>
      <c r="F30" s="153"/>
      <c r="G30" s="153"/>
      <c r="H30" s="153"/>
      <c r="I30" s="1"/>
      <c r="J30" s="22"/>
      <c r="K30" s="22"/>
      <c r="L30" s="163"/>
    </row>
    <row r="31" spans="1:12">
      <c r="A31" s="153"/>
      <c r="B31" s="153"/>
      <c r="C31" s="153"/>
      <c r="D31" s="153"/>
      <c r="E31" s="153"/>
      <c r="F31" s="153"/>
      <c r="G31" s="153"/>
      <c r="H31" s="153"/>
      <c r="I31" s="1"/>
      <c r="J31" s="22"/>
      <c r="K31" s="22"/>
      <c r="L31" s="163"/>
    </row>
    <row r="32" spans="1:12">
      <c r="A32" s="153"/>
      <c r="B32" s="153"/>
      <c r="C32" s="153"/>
      <c r="D32" s="153"/>
      <c r="E32" s="153"/>
      <c r="F32" s="153"/>
      <c r="G32" s="153"/>
      <c r="H32" s="153"/>
      <c r="I32" s="1"/>
      <c r="J32" s="22"/>
      <c r="K32" s="22"/>
      <c r="L32" s="163"/>
    </row>
    <row r="33" spans="1:12">
      <c r="A33" s="153"/>
      <c r="B33" s="153"/>
      <c r="C33" s="153"/>
      <c r="D33" s="153"/>
      <c r="E33" s="153"/>
      <c r="F33" s="153"/>
      <c r="G33" s="153"/>
      <c r="H33" s="153"/>
      <c r="I33" s="1"/>
      <c r="J33" s="22"/>
      <c r="K33" s="22"/>
      <c r="L33" s="163"/>
    </row>
    <row r="34" spans="1:12">
      <c r="A34" s="153"/>
      <c r="B34" s="153"/>
      <c r="C34" s="153"/>
      <c r="D34" s="153"/>
      <c r="E34" s="153"/>
      <c r="F34" s="153"/>
      <c r="G34" s="153"/>
      <c r="H34" s="153"/>
      <c r="I34" s="1"/>
      <c r="J34" s="22"/>
      <c r="K34" s="22"/>
      <c r="L34" s="163"/>
    </row>
    <row r="35" spans="1:12">
      <c r="A35" s="207"/>
      <c r="B35" s="207"/>
      <c r="C35" s="207"/>
      <c r="D35" s="207"/>
      <c r="E35" s="207"/>
      <c r="F35" s="207"/>
      <c r="G35" s="207"/>
      <c r="H35" s="207"/>
      <c r="I35" s="164"/>
      <c r="J35" s="165"/>
      <c r="K35" s="165"/>
      <c r="L35" s="166"/>
    </row>
  </sheetData>
  <sheetProtection sheet="1" objects="1" scenarios="1"/>
  <mergeCells count="6">
    <mergeCell ref="I19:L23"/>
    <mergeCell ref="A1:L1"/>
    <mergeCell ref="J10:L10"/>
    <mergeCell ref="A2:L2"/>
    <mergeCell ref="A10:I10"/>
    <mergeCell ref="A18:H18"/>
  </mergeCells>
  <conditionalFormatting sqref="L12:L16">
    <cfRule type="containsText" dxfId="7" priority="7" operator="containsText" text="OK">
      <formula>NOT(ISERROR(SEARCH("OK",L12)))</formula>
    </cfRule>
  </conditionalFormatting>
  <conditionalFormatting sqref="L12:L16">
    <cfRule type="containsText" dxfId="6" priority="6" operator="containsText" text="ATTENZIONE">
      <formula>NOT(ISERROR(SEARCH("ATTENZIONE",L12)))</formula>
    </cfRule>
  </conditionalFormatting>
  <conditionalFormatting sqref="A7">
    <cfRule type="containsText" dxfId="5" priority="5" operator="containsText" text="NON INIZIATA">
      <formula>NOT(ISERROR(SEARCH("NON INIZIATA",A7)))</formula>
    </cfRule>
  </conditionalFormatting>
  <conditionalFormatting sqref="A7">
    <cfRule type="containsText" dxfId="4" priority="4" operator="containsText" text="IN CORSO">
      <formula>NOT(ISERROR(SEARCH("IN CORSO",A7)))</formula>
    </cfRule>
  </conditionalFormatting>
  <conditionalFormatting sqref="E7">
    <cfRule type="cellIs" dxfId="3" priority="3" operator="greaterThan">
      <formula>0</formula>
    </cfRule>
  </conditionalFormatting>
  <conditionalFormatting sqref="E7">
    <cfRule type="cellIs" dxfId="2" priority="2" operator="lessThan">
      <formula>0</formula>
    </cfRule>
  </conditionalFormatting>
  <conditionalFormatting sqref="F20:G23">
    <cfRule type="cellIs" dxfId="1" priority="1" operator="lessThanOrEqual">
      <formula>50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2244-1435-4437-97AD-F4F7780C3114}">
  <dimension ref="A1:A4"/>
  <sheetViews>
    <sheetView workbookViewId="0">
      <selection activeCell="D7" sqref="D7"/>
    </sheetView>
  </sheetViews>
  <sheetFormatPr defaultRowHeight="15"/>
  <cols>
    <col min="1" max="1" width="14.28515625" bestFit="1" customWidth="1"/>
  </cols>
  <sheetData>
    <row r="1" spans="1:1">
      <c r="A1" t="s">
        <v>426</v>
      </c>
    </row>
    <row r="2" spans="1:1">
      <c r="A2" t="s">
        <v>9</v>
      </c>
    </row>
    <row r="3" spans="1:1">
      <c r="A3" s="137" t="s">
        <v>427</v>
      </c>
    </row>
    <row r="4" spans="1:1">
      <c r="A4" s="138" t="s">
        <v>381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8"/>
  <sheetViews>
    <sheetView workbookViewId="0">
      <pane ySplit="1" topLeftCell="A33" activePane="bottomLeft" state="frozen"/>
      <selection pane="bottomLeft" activeCell="F37" sqref="F37"/>
    </sheetView>
  </sheetViews>
  <sheetFormatPr defaultRowHeight="15"/>
  <cols>
    <col min="1" max="1" width="14.7109375" style="2" bestFit="1" customWidth="1"/>
    <col min="2" max="2" width="15.28515625" style="8" bestFit="1" customWidth="1"/>
    <col min="3" max="3" width="19.42578125" style="5" bestFit="1" customWidth="1"/>
    <col min="4" max="4" width="19.42578125" style="6" customWidth="1"/>
    <col min="5" max="5" width="14.5703125" style="10" bestFit="1" customWidth="1"/>
    <col min="6" max="6" width="19.5703125" style="8" bestFit="1" customWidth="1"/>
    <col min="7" max="7" width="15.7109375" style="5" bestFit="1" customWidth="1"/>
    <col min="8" max="8" width="14.7109375" style="8" bestFit="1" customWidth="1"/>
    <col min="9" max="9" width="14.28515625" style="5" bestFit="1" customWidth="1"/>
    <col min="10" max="10" width="14.5703125" style="6" bestFit="1" customWidth="1"/>
    <col min="11" max="26" width="9.140625" style="22"/>
    <col min="27" max="27" width="9.140625" style="10"/>
    <col min="28" max="16384" width="9.140625" style="2"/>
  </cols>
  <sheetData>
    <row r="1" spans="1:27" s="12" customFormat="1">
      <c r="A1" s="143" t="s">
        <v>428</v>
      </c>
      <c r="B1" s="144"/>
      <c r="C1" s="143" t="s">
        <v>429</v>
      </c>
      <c r="D1" s="145"/>
      <c r="E1" s="144" t="s">
        <v>430</v>
      </c>
      <c r="F1" s="144"/>
      <c r="G1" s="143" t="s">
        <v>431</v>
      </c>
      <c r="H1" s="145"/>
      <c r="I1" s="143" t="s">
        <v>432</v>
      </c>
      <c r="J1" s="145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11"/>
    </row>
    <row r="2" spans="1:27" s="14" customFormat="1">
      <c r="A2" s="15" t="s">
        <v>7</v>
      </c>
      <c r="B2" s="37" t="s">
        <v>26</v>
      </c>
      <c r="C2" s="15" t="s">
        <v>12</v>
      </c>
      <c r="D2" s="17" t="s">
        <v>34</v>
      </c>
      <c r="E2" s="18"/>
      <c r="F2" s="16"/>
      <c r="G2" s="15"/>
      <c r="H2" s="16"/>
      <c r="I2" s="15" t="s">
        <v>31</v>
      </c>
      <c r="J2" s="17" t="s">
        <v>32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13"/>
    </row>
    <row r="3" spans="1:27">
      <c r="A3" s="3" t="s">
        <v>11</v>
      </c>
      <c r="B3" s="7" t="s">
        <v>21</v>
      </c>
      <c r="C3" s="3" t="s">
        <v>24</v>
      </c>
      <c r="D3" s="4" t="s">
        <v>18</v>
      </c>
      <c r="E3" s="9"/>
      <c r="F3" s="7"/>
      <c r="G3" s="3"/>
      <c r="H3" s="7"/>
      <c r="I3" s="3" t="s">
        <v>27</v>
      </c>
      <c r="J3" s="4"/>
    </row>
    <row r="4" spans="1:27">
      <c r="A4" s="41" t="s">
        <v>17</v>
      </c>
      <c r="B4" s="24" t="s">
        <v>28</v>
      </c>
      <c r="C4" s="23" t="s">
        <v>20</v>
      </c>
      <c r="D4" s="25" t="s">
        <v>30</v>
      </c>
      <c r="E4" s="26"/>
      <c r="F4" s="24"/>
      <c r="G4" s="23" t="s">
        <v>25</v>
      </c>
      <c r="H4" s="24" t="s">
        <v>22</v>
      </c>
      <c r="I4" s="23" t="s">
        <v>29</v>
      </c>
      <c r="J4" s="25" t="s">
        <v>14</v>
      </c>
      <c r="O4" s="92" t="s">
        <v>429</v>
      </c>
    </row>
    <row r="5" spans="1:27">
      <c r="A5" s="27" t="s">
        <v>59</v>
      </c>
      <c r="B5" s="28" t="s">
        <v>147</v>
      </c>
      <c r="C5" s="27" t="s">
        <v>136</v>
      </c>
      <c r="D5" s="29" t="s">
        <v>46</v>
      </c>
      <c r="E5" s="30" t="s">
        <v>157</v>
      </c>
      <c r="F5" s="28" t="s">
        <v>114</v>
      </c>
      <c r="G5" s="27" t="s">
        <v>54</v>
      </c>
      <c r="H5" s="28" t="s">
        <v>55</v>
      </c>
      <c r="I5" s="27" t="s">
        <v>132</v>
      </c>
      <c r="J5" s="29" t="s">
        <v>99</v>
      </c>
      <c r="O5" s="93" t="s">
        <v>431</v>
      </c>
    </row>
    <row r="6" spans="1:27">
      <c r="A6" s="31" t="s">
        <v>84</v>
      </c>
      <c r="B6" s="32" t="s">
        <v>115</v>
      </c>
      <c r="C6" s="31" t="s">
        <v>104</v>
      </c>
      <c r="D6" s="33" t="s">
        <v>112</v>
      </c>
      <c r="E6" s="34" t="s">
        <v>130</v>
      </c>
      <c r="F6" s="32" t="s">
        <v>127</v>
      </c>
      <c r="G6" s="31"/>
      <c r="H6" s="32"/>
      <c r="I6" s="31" t="s">
        <v>72</v>
      </c>
      <c r="J6" s="33" t="s">
        <v>134</v>
      </c>
      <c r="O6" s="91" t="s">
        <v>428</v>
      </c>
    </row>
    <row r="7" spans="1:27">
      <c r="A7" s="31" t="s">
        <v>94</v>
      </c>
      <c r="B7" s="32" t="s">
        <v>152</v>
      </c>
      <c r="C7" s="31"/>
      <c r="D7" s="33"/>
      <c r="E7" s="34" t="s">
        <v>78</v>
      </c>
      <c r="F7" s="32" t="s">
        <v>76</v>
      </c>
      <c r="G7" s="31"/>
      <c r="H7" s="32"/>
      <c r="I7" s="31" t="s">
        <v>111</v>
      </c>
      <c r="J7" s="33" t="s">
        <v>101</v>
      </c>
      <c r="O7" s="94" t="s">
        <v>432</v>
      </c>
    </row>
    <row r="8" spans="1:27">
      <c r="A8" s="31" t="s">
        <v>105</v>
      </c>
      <c r="B8" s="32" t="s">
        <v>45</v>
      </c>
      <c r="C8" s="31" t="s">
        <v>137</v>
      </c>
      <c r="D8" s="33" t="s">
        <v>118</v>
      </c>
      <c r="E8" s="34" t="s">
        <v>50</v>
      </c>
      <c r="F8" s="32" t="s">
        <v>149</v>
      </c>
      <c r="G8" s="31" t="s">
        <v>73</v>
      </c>
      <c r="H8" s="32" t="s">
        <v>80</v>
      </c>
      <c r="I8" s="31" t="s">
        <v>53</v>
      </c>
      <c r="J8" s="33" t="s">
        <v>140</v>
      </c>
      <c r="O8" s="97" t="s">
        <v>430</v>
      </c>
    </row>
    <row r="9" spans="1:27">
      <c r="A9" s="31" t="s">
        <v>120</v>
      </c>
      <c r="B9" s="35" t="s">
        <v>113</v>
      </c>
      <c r="C9" s="31" t="s">
        <v>51</v>
      </c>
      <c r="D9" s="33" t="s">
        <v>124</v>
      </c>
      <c r="E9" s="34" t="s">
        <v>129</v>
      </c>
      <c r="F9" s="32" t="s">
        <v>69</v>
      </c>
      <c r="G9" s="31" t="s">
        <v>88</v>
      </c>
      <c r="H9" s="32" t="s">
        <v>139</v>
      </c>
      <c r="I9" s="31" t="s">
        <v>150</v>
      </c>
      <c r="J9" s="33" t="s">
        <v>83</v>
      </c>
    </row>
    <row r="10" spans="1:27">
      <c r="A10" s="31" t="s">
        <v>125</v>
      </c>
      <c r="B10" s="32" t="s">
        <v>135</v>
      </c>
      <c r="C10" s="31" t="s">
        <v>110</v>
      </c>
      <c r="D10" s="42" t="s">
        <v>154</v>
      </c>
      <c r="E10" s="34" t="s">
        <v>77</v>
      </c>
      <c r="F10" s="32" t="s">
        <v>60</v>
      </c>
      <c r="G10" s="31"/>
      <c r="H10" s="32"/>
      <c r="I10" s="31" t="s">
        <v>36</v>
      </c>
      <c r="J10" s="33" t="s">
        <v>145</v>
      </c>
    </row>
    <row r="11" spans="1:27">
      <c r="A11" s="31" t="s">
        <v>128</v>
      </c>
      <c r="B11" s="35" t="s">
        <v>91</v>
      </c>
      <c r="C11" s="31" t="s">
        <v>48</v>
      </c>
      <c r="D11" s="42" t="s">
        <v>93</v>
      </c>
      <c r="E11" s="34" t="s">
        <v>82</v>
      </c>
      <c r="F11" s="32" t="s">
        <v>107</v>
      </c>
      <c r="G11" s="31" t="s">
        <v>144</v>
      </c>
      <c r="H11" s="32" t="s">
        <v>109</v>
      </c>
      <c r="I11" s="31" t="s">
        <v>96</v>
      </c>
      <c r="J11" s="33" t="s">
        <v>100</v>
      </c>
    </row>
    <row r="12" spans="1:27">
      <c r="A12" s="31" t="s">
        <v>142</v>
      </c>
      <c r="B12" s="32" t="s">
        <v>37</v>
      </c>
      <c r="C12" s="31" t="s">
        <v>79</v>
      </c>
      <c r="D12" s="33" t="s">
        <v>70</v>
      </c>
      <c r="E12" s="34" t="s">
        <v>65</v>
      </c>
      <c r="F12" s="32" t="s">
        <v>106</v>
      </c>
      <c r="G12" s="31" t="s">
        <v>67</v>
      </c>
      <c r="H12" s="32" t="s">
        <v>117</v>
      </c>
      <c r="I12" s="31" t="s">
        <v>97</v>
      </c>
      <c r="J12" s="33" t="s">
        <v>47</v>
      </c>
    </row>
    <row r="13" spans="1:27">
      <c r="A13" s="31" t="s">
        <v>146</v>
      </c>
      <c r="B13" s="32" t="s">
        <v>61</v>
      </c>
      <c r="C13" s="31" t="s">
        <v>62</v>
      </c>
      <c r="D13" s="33" t="s">
        <v>131</v>
      </c>
      <c r="E13" s="34" t="s">
        <v>103</v>
      </c>
      <c r="F13" s="32" t="s">
        <v>95</v>
      </c>
      <c r="G13" s="31" t="s">
        <v>58</v>
      </c>
      <c r="H13" s="32"/>
      <c r="I13" s="31" t="s">
        <v>141</v>
      </c>
      <c r="J13" s="33" t="s">
        <v>66</v>
      </c>
    </row>
    <row r="14" spans="1:27">
      <c r="A14" s="31" t="s">
        <v>158</v>
      </c>
      <c r="B14" s="32" t="s">
        <v>108</v>
      </c>
      <c r="C14" s="31" t="s">
        <v>63</v>
      </c>
      <c r="D14" s="33" t="s">
        <v>39</v>
      </c>
      <c r="E14" s="34" t="s">
        <v>44</v>
      </c>
      <c r="F14" s="32" t="s">
        <v>42</v>
      </c>
      <c r="G14" s="31" t="s">
        <v>155</v>
      </c>
      <c r="H14" s="32" t="s">
        <v>122</v>
      </c>
      <c r="I14" s="31" t="s">
        <v>151</v>
      </c>
      <c r="J14" s="33" t="s">
        <v>85</v>
      </c>
    </row>
    <row r="15" spans="1:27">
      <c r="A15" s="31"/>
      <c r="B15" s="32"/>
      <c r="C15" s="31"/>
      <c r="D15" s="33"/>
      <c r="E15" s="34" t="s">
        <v>52</v>
      </c>
      <c r="F15" s="32" t="s">
        <v>102</v>
      </c>
      <c r="G15" s="31"/>
      <c r="H15" s="32"/>
      <c r="I15" s="31" t="s">
        <v>123</v>
      </c>
      <c r="J15" s="33" t="s">
        <v>35</v>
      </c>
    </row>
    <row r="16" spans="1:27">
      <c r="A16" s="31"/>
      <c r="B16" s="32"/>
      <c r="C16" s="31"/>
      <c r="D16" s="33"/>
      <c r="E16" s="34" t="s">
        <v>98</v>
      </c>
      <c r="F16" s="32" t="s">
        <v>49</v>
      </c>
      <c r="G16" s="31"/>
      <c r="H16" s="32"/>
      <c r="I16" s="31" t="s">
        <v>81</v>
      </c>
      <c r="J16" s="33" t="s">
        <v>75</v>
      </c>
    </row>
    <row r="17" spans="1:10">
      <c r="A17" s="31"/>
      <c r="B17" s="32"/>
      <c r="C17" s="31"/>
      <c r="D17" s="33"/>
      <c r="E17" s="34" t="s">
        <v>143</v>
      </c>
      <c r="F17" s="32" t="s">
        <v>153</v>
      </c>
      <c r="G17" s="31"/>
      <c r="H17" s="32"/>
      <c r="I17" s="31"/>
      <c r="J17" s="33"/>
    </row>
    <row r="18" spans="1:10">
      <c r="A18" s="31"/>
      <c r="B18" s="32"/>
      <c r="C18" s="31"/>
      <c r="D18" s="33"/>
      <c r="E18" s="34" t="s">
        <v>86</v>
      </c>
      <c r="F18" s="32" t="s">
        <v>57</v>
      </c>
      <c r="G18" s="31"/>
      <c r="H18" s="32"/>
      <c r="I18" s="31"/>
      <c r="J18" s="33"/>
    </row>
    <row r="19" spans="1:10">
      <c r="A19" s="31"/>
      <c r="B19" s="32"/>
      <c r="C19" s="31"/>
      <c r="D19" s="33"/>
      <c r="E19" s="34" t="s">
        <v>56</v>
      </c>
      <c r="F19" s="32" t="s">
        <v>87</v>
      </c>
      <c r="G19" s="31"/>
      <c r="H19" s="32"/>
      <c r="I19" s="31"/>
      <c r="J19" s="33"/>
    </row>
    <row r="20" spans="1:10">
      <c r="A20" s="31"/>
      <c r="B20" s="32"/>
      <c r="C20" s="31"/>
      <c r="D20" s="33"/>
      <c r="E20" s="34" t="s">
        <v>90</v>
      </c>
      <c r="F20" s="32" t="s">
        <v>40</v>
      </c>
      <c r="G20" s="31"/>
      <c r="H20" s="32"/>
      <c r="I20" s="31"/>
      <c r="J20" s="33"/>
    </row>
    <row r="21" spans="1:10">
      <c r="A21" s="36"/>
      <c r="B21" s="38"/>
      <c r="C21" s="36"/>
      <c r="D21" s="39"/>
      <c r="E21" s="40" t="s">
        <v>133</v>
      </c>
      <c r="F21" s="38"/>
      <c r="G21" s="36"/>
      <c r="H21" s="38"/>
      <c r="I21" s="36"/>
      <c r="J21" s="39"/>
    </row>
    <row r="22" spans="1:10">
      <c r="A22" s="43" t="s">
        <v>197</v>
      </c>
      <c r="B22" s="44" t="s">
        <v>244</v>
      </c>
      <c r="C22" s="43" t="s">
        <v>258</v>
      </c>
      <c r="D22" s="45" t="s">
        <v>245</v>
      </c>
      <c r="E22" s="46" t="s">
        <v>210</v>
      </c>
      <c r="F22" s="44" t="s">
        <v>273</v>
      </c>
      <c r="G22" s="43" t="s">
        <v>201</v>
      </c>
      <c r="H22" s="44" t="s">
        <v>254</v>
      </c>
      <c r="I22" s="43" t="s">
        <v>235</v>
      </c>
      <c r="J22" s="45" t="s">
        <v>199</v>
      </c>
    </row>
    <row r="23" spans="1:10">
      <c r="A23" s="47" t="s">
        <v>275</v>
      </c>
      <c r="B23" s="48" t="s">
        <v>173</v>
      </c>
      <c r="C23" s="47" t="s">
        <v>178</v>
      </c>
      <c r="D23" s="49" t="s">
        <v>168</v>
      </c>
      <c r="E23" s="50" t="s">
        <v>204</v>
      </c>
      <c r="F23" s="48" t="s">
        <v>159</v>
      </c>
      <c r="G23" s="47" t="s">
        <v>228</v>
      </c>
      <c r="H23" s="48" t="s">
        <v>259</v>
      </c>
      <c r="I23" s="47" t="s">
        <v>433</v>
      </c>
      <c r="J23" s="49" t="s">
        <v>227</v>
      </c>
    </row>
    <row r="24" spans="1:10">
      <c r="A24" s="47" t="s">
        <v>239</v>
      </c>
      <c r="B24" s="48" t="s">
        <v>256</v>
      </c>
      <c r="C24" s="47" t="s">
        <v>262</v>
      </c>
      <c r="D24" s="49" t="s">
        <v>281</v>
      </c>
      <c r="E24" s="50" t="s">
        <v>246</v>
      </c>
      <c r="F24" s="48" t="s">
        <v>191</v>
      </c>
      <c r="G24" s="47" t="s">
        <v>268</v>
      </c>
      <c r="H24" s="48" t="s">
        <v>217</v>
      </c>
      <c r="I24" s="47" t="s">
        <v>186</v>
      </c>
      <c r="J24" s="49" t="s">
        <v>175</v>
      </c>
    </row>
    <row r="25" spans="1:10">
      <c r="A25" s="47" t="s">
        <v>181</v>
      </c>
      <c r="B25" s="48" t="s">
        <v>243</v>
      </c>
      <c r="C25" s="47" t="s">
        <v>274</v>
      </c>
      <c r="D25" s="49" t="s">
        <v>208</v>
      </c>
      <c r="E25" s="50" t="s">
        <v>202</v>
      </c>
      <c r="F25" s="48" t="s">
        <v>165</v>
      </c>
      <c r="G25" s="47" t="s">
        <v>163</v>
      </c>
      <c r="H25" s="48" t="s">
        <v>214</v>
      </c>
      <c r="I25" s="47" t="s">
        <v>211</v>
      </c>
      <c r="J25" s="49" t="s">
        <v>232</v>
      </c>
    </row>
    <row r="26" spans="1:10">
      <c r="A26" s="47" t="s">
        <v>203</v>
      </c>
      <c r="B26" s="48" t="s">
        <v>170</v>
      </c>
      <c r="C26" s="47" t="s">
        <v>252</v>
      </c>
      <c r="D26" s="49" t="s">
        <v>251</v>
      </c>
      <c r="E26" s="50" t="s">
        <v>180</v>
      </c>
      <c r="F26" s="51" t="s">
        <v>209</v>
      </c>
      <c r="G26" s="47" t="s">
        <v>171</v>
      </c>
      <c r="H26" s="48" t="s">
        <v>234</v>
      </c>
      <c r="I26" s="47" t="s">
        <v>222</v>
      </c>
      <c r="J26" s="49" t="s">
        <v>216</v>
      </c>
    </row>
    <row r="27" spans="1:10">
      <c r="A27" s="52" t="s">
        <v>253</v>
      </c>
      <c r="B27" s="48" t="s">
        <v>212</v>
      </c>
      <c r="C27" s="47" t="s">
        <v>231</v>
      </c>
      <c r="D27" s="49" t="s">
        <v>192</v>
      </c>
      <c r="E27" s="50" t="s">
        <v>261</v>
      </c>
      <c r="F27" s="48" t="s">
        <v>225</v>
      </c>
      <c r="G27" s="47" t="s">
        <v>184</v>
      </c>
      <c r="H27" s="51" t="s">
        <v>187</v>
      </c>
      <c r="I27" s="47" t="s">
        <v>280</v>
      </c>
      <c r="J27" s="49" t="s">
        <v>226</v>
      </c>
    </row>
    <row r="28" spans="1:10">
      <c r="A28" s="47" t="s">
        <v>205</v>
      </c>
      <c r="B28" s="48" t="s">
        <v>278</v>
      </c>
      <c r="C28" s="47"/>
      <c r="D28" s="49"/>
      <c r="E28" s="50" t="s">
        <v>196</v>
      </c>
      <c r="F28" s="48" t="s">
        <v>266</v>
      </c>
      <c r="G28" s="47" t="s">
        <v>162</v>
      </c>
      <c r="H28" s="48" t="s">
        <v>276</v>
      </c>
      <c r="I28" s="47" t="s">
        <v>220</v>
      </c>
      <c r="J28" s="49" t="s">
        <v>169</v>
      </c>
    </row>
    <row r="29" spans="1:10">
      <c r="A29" s="52" t="s">
        <v>200</v>
      </c>
      <c r="B29" s="48" t="s">
        <v>167</v>
      </c>
      <c r="C29" s="47"/>
      <c r="D29" s="49"/>
      <c r="E29" s="50" t="s">
        <v>255</v>
      </c>
      <c r="F29" s="48" t="s">
        <v>236</v>
      </c>
      <c r="G29" s="47" t="s">
        <v>164</v>
      </c>
      <c r="H29" s="48" t="s">
        <v>249</v>
      </c>
      <c r="I29" s="47" t="s">
        <v>260</v>
      </c>
      <c r="J29" s="49" t="s">
        <v>242</v>
      </c>
    </row>
    <row r="30" spans="1:10">
      <c r="A30" s="52" t="s">
        <v>193</v>
      </c>
      <c r="B30" s="51" t="s">
        <v>189</v>
      </c>
      <c r="C30" s="47"/>
      <c r="D30" s="49"/>
      <c r="E30" s="50" t="s">
        <v>267</v>
      </c>
      <c r="F30" s="48" t="s">
        <v>224</v>
      </c>
      <c r="G30" s="47" t="s">
        <v>272</v>
      </c>
      <c r="H30" s="51" t="s">
        <v>195</v>
      </c>
      <c r="I30" s="47"/>
      <c r="J30" s="49"/>
    </row>
    <row r="31" spans="1:10">
      <c r="A31" s="52" t="s">
        <v>230</v>
      </c>
      <c r="B31" s="48" t="s">
        <v>263</v>
      </c>
      <c r="C31" s="47"/>
      <c r="D31" s="49"/>
      <c r="E31" s="50" t="s">
        <v>219</v>
      </c>
      <c r="F31" s="48" t="s">
        <v>241</v>
      </c>
      <c r="G31" s="47" t="s">
        <v>177</v>
      </c>
      <c r="H31" s="48" t="s">
        <v>183</v>
      </c>
      <c r="I31" s="47"/>
      <c r="J31" s="49"/>
    </row>
    <row r="32" spans="1:10">
      <c r="A32" s="52" t="s">
        <v>182</v>
      </c>
      <c r="B32" s="51" t="s">
        <v>247</v>
      </c>
      <c r="C32" s="47"/>
      <c r="D32" s="49"/>
      <c r="E32" s="50" t="s">
        <v>172</v>
      </c>
      <c r="F32" s="48" t="s">
        <v>237</v>
      </c>
      <c r="G32" s="47"/>
      <c r="H32" s="48" t="s">
        <v>269</v>
      </c>
      <c r="I32" s="47"/>
      <c r="J32" s="49"/>
    </row>
    <row r="33" spans="1:10">
      <c r="A33" s="47" t="s">
        <v>223</v>
      </c>
      <c r="B33" s="48" t="s">
        <v>257</v>
      </c>
      <c r="C33" s="47"/>
      <c r="D33" s="49"/>
      <c r="E33" s="50" t="s">
        <v>221</v>
      </c>
      <c r="F33" s="48" t="s">
        <v>190</v>
      </c>
      <c r="G33" s="47"/>
      <c r="H33" s="48"/>
      <c r="I33" s="47"/>
      <c r="J33" s="49"/>
    </row>
    <row r="34" spans="1:10">
      <c r="A34" s="47" t="s">
        <v>188</v>
      </c>
      <c r="B34" s="48" t="s">
        <v>250</v>
      </c>
      <c r="C34" s="47"/>
      <c r="D34" s="49"/>
      <c r="E34" s="50" t="s">
        <v>229</v>
      </c>
      <c r="F34" s="48" t="s">
        <v>166</v>
      </c>
      <c r="G34" s="47"/>
      <c r="H34" s="48"/>
      <c r="I34" s="47"/>
      <c r="J34" s="49"/>
    </row>
    <row r="35" spans="1:10">
      <c r="A35" s="52" t="s">
        <v>270</v>
      </c>
      <c r="B35" s="48" t="s">
        <v>233</v>
      </c>
      <c r="C35" s="47"/>
      <c r="D35" s="49"/>
      <c r="E35" s="50" t="s">
        <v>434</v>
      </c>
      <c r="F35" s="48" t="s">
        <v>207</v>
      </c>
      <c r="G35" s="47"/>
      <c r="H35" s="48"/>
      <c r="I35" s="47"/>
      <c r="J35" s="49"/>
    </row>
    <row r="36" spans="1:10">
      <c r="A36" s="47" t="s">
        <v>160</v>
      </c>
      <c r="B36" s="48" t="s">
        <v>271</v>
      </c>
      <c r="C36" s="47"/>
      <c r="D36" s="49"/>
      <c r="E36" s="50" t="s">
        <v>218</v>
      </c>
      <c r="F36" s="48" t="s">
        <v>248</v>
      </c>
      <c r="G36" s="47"/>
      <c r="H36" s="48"/>
      <c r="I36" s="47"/>
      <c r="J36" s="49"/>
    </row>
    <row r="37" spans="1:10">
      <c r="A37" s="52" t="s">
        <v>238</v>
      </c>
      <c r="B37" s="51" t="s">
        <v>198</v>
      </c>
      <c r="C37" s="47"/>
      <c r="D37" s="49"/>
      <c r="E37" s="50" t="s">
        <v>213</v>
      </c>
      <c r="F37" s="48"/>
      <c r="G37" s="47"/>
      <c r="H37" s="48"/>
      <c r="I37" s="47"/>
      <c r="J37" s="49"/>
    </row>
    <row r="38" spans="1:10">
      <c r="A38" s="53" t="s">
        <v>277</v>
      </c>
      <c r="B38" s="54" t="s">
        <v>176</v>
      </c>
      <c r="C38" s="53"/>
      <c r="D38" s="55"/>
      <c r="E38" s="56"/>
      <c r="F38" s="54"/>
      <c r="G38" s="53"/>
      <c r="H38" s="54"/>
      <c r="I38" s="53"/>
      <c r="J38" s="55"/>
    </row>
    <row r="39" spans="1:10">
      <c r="A39" s="57" t="s">
        <v>296</v>
      </c>
      <c r="B39" s="58" t="s">
        <v>312</v>
      </c>
      <c r="C39" s="57" t="s">
        <v>309</v>
      </c>
      <c r="D39" s="59" t="s">
        <v>328</v>
      </c>
      <c r="E39" s="60" t="s">
        <v>336</v>
      </c>
      <c r="F39" s="58" t="s">
        <v>300</v>
      </c>
      <c r="G39" s="57" t="s">
        <v>333</v>
      </c>
      <c r="H39" s="58" t="s">
        <v>340</v>
      </c>
      <c r="I39" s="57" t="s">
        <v>320</v>
      </c>
      <c r="J39" s="59" t="s">
        <v>310</v>
      </c>
    </row>
    <row r="40" spans="1:10">
      <c r="A40" s="61" t="s">
        <v>299</v>
      </c>
      <c r="B40" s="62" t="s">
        <v>292</v>
      </c>
      <c r="C40" s="61" t="s">
        <v>346</v>
      </c>
      <c r="D40" s="63" t="s">
        <v>332</v>
      </c>
      <c r="E40" s="64" t="s">
        <v>313</v>
      </c>
      <c r="F40" s="62" t="s">
        <v>331</v>
      </c>
      <c r="G40" s="61" t="s">
        <v>329</v>
      </c>
      <c r="H40" s="62" t="s">
        <v>323</v>
      </c>
      <c r="I40" s="61" t="s">
        <v>298</v>
      </c>
      <c r="J40" s="63" t="s">
        <v>327</v>
      </c>
    </row>
    <row r="41" spans="1:10">
      <c r="A41" s="65" t="s">
        <v>322</v>
      </c>
      <c r="B41" s="62" t="s">
        <v>304</v>
      </c>
      <c r="C41" s="61" t="s">
        <v>290</v>
      </c>
      <c r="D41" s="63" t="s">
        <v>338</v>
      </c>
      <c r="E41" s="64" t="s">
        <v>344</v>
      </c>
      <c r="F41" s="62" t="s">
        <v>297</v>
      </c>
      <c r="G41" s="61" t="s">
        <v>287</v>
      </c>
      <c r="H41" s="62" t="s">
        <v>286</v>
      </c>
      <c r="I41" s="61" t="s">
        <v>305</v>
      </c>
      <c r="J41" s="63" t="s">
        <v>339</v>
      </c>
    </row>
    <row r="42" spans="1:10">
      <c r="A42" s="61" t="s">
        <v>341</v>
      </c>
      <c r="B42" s="66" t="s">
        <v>311</v>
      </c>
      <c r="C42" s="61"/>
      <c r="D42" s="63"/>
      <c r="E42" s="64" t="s">
        <v>325</v>
      </c>
      <c r="F42" s="62" t="s">
        <v>316</v>
      </c>
      <c r="G42" s="61" t="s">
        <v>334</v>
      </c>
      <c r="H42" s="62" t="s">
        <v>343</v>
      </c>
      <c r="I42" s="61" t="s">
        <v>306</v>
      </c>
      <c r="J42" s="63" t="s">
        <v>289</v>
      </c>
    </row>
    <row r="43" spans="1:10">
      <c r="A43" s="61" t="s">
        <v>324</v>
      </c>
      <c r="B43" s="62" t="s">
        <v>308</v>
      </c>
      <c r="C43" s="61"/>
      <c r="D43" s="63"/>
      <c r="E43" s="67" t="s">
        <v>345</v>
      </c>
      <c r="F43" s="62"/>
      <c r="G43" s="61" t="s">
        <v>317</v>
      </c>
      <c r="H43" s="62" t="s">
        <v>303</v>
      </c>
      <c r="I43" s="61" t="s">
        <v>293</v>
      </c>
      <c r="J43" s="63" t="s">
        <v>335</v>
      </c>
    </row>
    <row r="44" spans="1:10">
      <c r="A44" s="65" t="s">
        <v>342</v>
      </c>
      <c r="B44" s="62" t="s">
        <v>301</v>
      </c>
      <c r="C44" s="61"/>
      <c r="D44" s="63"/>
      <c r="E44" s="64"/>
      <c r="F44" s="62"/>
      <c r="G44" s="61" t="s">
        <v>283</v>
      </c>
      <c r="H44" s="62"/>
      <c r="I44" s="61" t="s">
        <v>318</v>
      </c>
      <c r="J44" s="63" t="s">
        <v>326</v>
      </c>
    </row>
    <row r="45" spans="1:10">
      <c r="A45" s="65" t="s">
        <v>321</v>
      </c>
      <c r="B45" s="62" t="s">
        <v>284</v>
      </c>
      <c r="C45" s="61"/>
      <c r="D45" s="63"/>
      <c r="E45" s="64"/>
      <c r="F45" s="62"/>
      <c r="G45" s="61"/>
      <c r="H45" s="62"/>
      <c r="I45" s="61" t="s">
        <v>314</v>
      </c>
      <c r="J45" s="63" t="s">
        <v>330</v>
      </c>
    </row>
    <row r="46" spans="1:10">
      <c r="A46" s="61" t="s">
        <v>288</v>
      </c>
      <c r="B46" s="62" t="s">
        <v>315</v>
      </c>
      <c r="C46" s="61"/>
      <c r="D46" s="63"/>
      <c r="E46" s="64"/>
      <c r="F46" s="62"/>
      <c r="G46" s="61"/>
      <c r="H46" s="62"/>
      <c r="I46" s="61" t="s">
        <v>347</v>
      </c>
      <c r="J46" s="63" t="s">
        <v>282</v>
      </c>
    </row>
    <row r="47" spans="1:10">
      <c r="A47" s="68" t="s">
        <v>337</v>
      </c>
      <c r="B47" s="69" t="s">
        <v>294</v>
      </c>
      <c r="C47" s="68"/>
      <c r="D47" s="70"/>
      <c r="E47" s="71"/>
      <c r="F47" s="72"/>
      <c r="G47" s="68"/>
      <c r="H47" s="72"/>
      <c r="I47" s="68"/>
      <c r="J47" s="70"/>
    </row>
    <row r="48" spans="1:10">
      <c r="A48" s="14"/>
      <c r="B48" s="19"/>
      <c r="C48" s="20"/>
      <c r="D48" s="21"/>
      <c r="E48" s="13"/>
      <c r="F48" s="19"/>
      <c r="G48" s="20"/>
      <c r="H48" s="19"/>
      <c r="I48" s="20"/>
      <c r="J48" s="21"/>
    </row>
  </sheetData>
  <autoFilter ref="A1:AA1" xr:uid="{00000000-0001-0000-0000-000000000000}">
    <filterColumn colId="0" showButton="0"/>
    <filterColumn colId="2" showButton="0"/>
    <filterColumn colId="4" showButton="0"/>
    <filterColumn colId="6" showButton="0"/>
    <filterColumn colId="8" showButton="0"/>
    <sortState xmlns:xlrd2="http://schemas.microsoft.com/office/spreadsheetml/2017/richdata2" ref="A2:AA21">
      <sortCondition sortBy="cellColor" ref="A1" dxfId="0"/>
    </sortState>
  </autoFilter>
  <mergeCells count="5">
    <mergeCell ref="A1:B1"/>
    <mergeCell ref="C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Fabio Gianusso</cp:lastModifiedBy>
  <cp:revision/>
  <dcterms:created xsi:type="dcterms:W3CDTF">2026-08-25T08:27:10Z</dcterms:created>
  <dcterms:modified xsi:type="dcterms:W3CDTF">2026-08-26T13:23:15Z</dcterms:modified>
  <cp:category/>
  <cp:contentStatus/>
</cp:coreProperties>
</file>